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10102" documentId="11_131A15B40BF08430FAC30752509FED21513BBDFA" xr6:coauthVersionLast="47" xr6:coauthVersionMax="47" xr10:uidLastSave="{1DC8F108-5225-48E9-ADD1-5B6420D4F51B}"/>
  <bookViews>
    <workbookView xWindow="0" yWindow="0" windowWidth="19200" windowHeight="6880" xr2:uid="{00000000-000D-0000-FFFF-FFFF00000000}"/>
  </bookViews>
  <sheets>
    <sheet name="Master Task Tracker" sheetId="1" r:id="rId1"/>
    <sheet name="Monthly Summary" sheetId="2" r:id="rId2"/>
    <sheet name="Individual Performance" sheetId="3" r:id="rId3"/>
  </sheets>
  <definedNames>
    <definedName name="_xlnm._FilterDatabase" localSheetId="0" hidden="1">'Master Task Tracker'!$A$2:$M$732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02" i="1" l="1"/>
  <c r="J901" i="1"/>
  <c r="J903" i="1"/>
  <c r="J905" i="1"/>
  <c r="J865" i="1"/>
  <c r="J866" i="1"/>
  <c r="J871" i="1"/>
  <c r="J874" i="1"/>
  <c r="J875" i="1"/>
  <c r="J868" i="1"/>
  <c r="J847" i="1"/>
  <c r="J848" i="1"/>
  <c r="J849" i="1"/>
  <c r="J820" i="1"/>
  <c r="J816" i="1"/>
  <c r="J812" i="1"/>
  <c r="J813" i="1"/>
  <c r="J810" i="1"/>
  <c r="J811" i="1"/>
  <c r="J804" i="1"/>
  <c r="J795" i="1"/>
  <c r="J796" i="1"/>
  <c r="J797" i="1"/>
  <c r="J772" i="1"/>
  <c r="J767" i="1"/>
  <c r="J768" i="1"/>
  <c r="J758" i="1"/>
  <c r="J759" i="1"/>
  <c r="J733" i="1"/>
  <c r="J734" i="1"/>
  <c r="J735" i="1"/>
  <c r="J736" i="1"/>
  <c r="J737" i="1"/>
  <c r="J690" i="1"/>
  <c r="J691" i="1"/>
  <c r="J692" i="1"/>
  <c r="J693" i="1"/>
  <c r="J687" i="1"/>
  <c r="J661" i="1"/>
  <c r="J662" i="1"/>
  <c r="J659" i="1"/>
  <c r="J654" i="1"/>
  <c r="J647" i="1"/>
  <c r="J585" i="1"/>
  <c r="J582" i="1"/>
  <c r="J583" i="1"/>
  <c r="J567" i="1"/>
  <c r="J568" i="1"/>
  <c r="J569" i="1"/>
  <c r="J570" i="1"/>
  <c r="J571" i="1"/>
  <c r="J572" i="1"/>
  <c r="J573" i="1"/>
  <c r="J532" i="1"/>
  <c r="J533" i="1"/>
  <c r="J510" i="1"/>
  <c r="J511" i="1"/>
  <c r="J312" i="1"/>
  <c r="J244" i="1"/>
  <c r="J245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834" i="1"/>
  <c r="J835" i="1"/>
  <c r="J836" i="1"/>
  <c r="J838" i="1"/>
  <c r="J782" i="1"/>
  <c r="J783" i="1"/>
  <c r="J793" i="1"/>
  <c r="J794" i="1"/>
  <c r="J751" i="1"/>
  <c r="J720" i="1"/>
  <c r="J754" i="1"/>
  <c r="J697" i="1"/>
  <c r="J696" i="1"/>
  <c r="J738" i="1"/>
  <c r="J718" i="1"/>
  <c r="J732" i="1"/>
  <c r="J724" i="1"/>
  <c r="J723" i="1"/>
  <c r="J719" i="1"/>
  <c r="J714" i="1"/>
  <c r="J713" i="1"/>
  <c r="J712" i="1"/>
  <c r="J695" i="1"/>
  <c r="J694" i="1"/>
  <c r="J679" i="1"/>
  <c r="J683" i="1"/>
  <c r="J534" i="1"/>
  <c r="J637" i="1"/>
  <c r="J638" i="1"/>
  <c r="J643" i="1"/>
  <c r="J642" i="1"/>
  <c r="J609" i="1"/>
  <c r="J610" i="1"/>
  <c r="J608" i="1"/>
  <c r="J550" i="1"/>
  <c r="J551" i="1"/>
  <c r="J558" i="1"/>
  <c r="J559" i="1"/>
  <c r="J23" i="1"/>
  <c r="J528" i="1"/>
  <c r="J508" i="1"/>
  <c r="J509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9" i="1"/>
  <c r="J530" i="1"/>
  <c r="J531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2" i="1"/>
  <c r="J553" i="1"/>
  <c r="J554" i="1"/>
  <c r="J555" i="1"/>
  <c r="J556" i="1"/>
  <c r="J557" i="1"/>
  <c r="J560" i="1"/>
  <c r="J561" i="1"/>
  <c r="J562" i="1"/>
  <c r="J563" i="1"/>
  <c r="J564" i="1"/>
  <c r="J565" i="1"/>
  <c r="J566" i="1"/>
  <c r="J574" i="1"/>
  <c r="J575" i="1"/>
  <c r="J576" i="1"/>
  <c r="J577" i="1"/>
  <c r="J578" i="1"/>
  <c r="J579" i="1"/>
  <c r="J580" i="1"/>
  <c r="J581" i="1"/>
  <c r="J584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9" i="1"/>
  <c r="J600" i="1"/>
  <c r="J601" i="1"/>
  <c r="J602" i="1"/>
  <c r="J604" i="1"/>
  <c r="J605" i="1"/>
  <c r="J606" i="1"/>
  <c r="J607" i="1"/>
  <c r="J612" i="1"/>
  <c r="J613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9" i="1"/>
  <c r="J640" i="1"/>
  <c r="J641" i="1"/>
  <c r="J644" i="1"/>
  <c r="J645" i="1"/>
  <c r="J646" i="1"/>
  <c r="J648" i="1"/>
  <c r="J649" i="1"/>
  <c r="J650" i="1"/>
  <c r="J651" i="1"/>
  <c r="J652" i="1"/>
  <c r="J653" i="1"/>
  <c r="J655" i="1"/>
  <c r="J656" i="1"/>
  <c r="J657" i="1"/>
  <c r="J658" i="1"/>
  <c r="J660" i="1"/>
  <c r="J663" i="1"/>
  <c r="J665" i="1"/>
  <c r="J666" i="1"/>
  <c r="J667" i="1"/>
  <c r="J668" i="1"/>
  <c r="J669" i="1"/>
  <c r="J670" i="1"/>
  <c r="J671" i="1"/>
  <c r="J673" i="1"/>
  <c r="J674" i="1"/>
  <c r="J675" i="1"/>
  <c r="J676" i="1"/>
  <c r="J677" i="1"/>
  <c r="J684" i="1"/>
  <c r="J685" i="1"/>
  <c r="J686" i="1"/>
  <c r="J688" i="1"/>
  <c r="J689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5" i="1"/>
  <c r="J716" i="1"/>
  <c r="J717" i="1"/>
  <c r="J721" i="1"/>
  <c r="J722" i="1"/>
  <c r="J681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2" i="1"/>
  <c r="J753" i="1"/>
  <c r="J755" i="1"/>
  <c r="J756" i="1"/>
  <c r="J757" i="1"/>
  <c r="J760" i="1"/>
  <c r="J761" i="1"/>
  <c r="J762" i="1"/>
  <c r="J763" i="1"/>
  <c r="J764" i="1"/>
  <c r="J765" i="1"/>
  <c r="J766" i="1"/>
  <c r="J769" i="1"/>
  <c r="J770" i="1"/>
  <c r="J771" i="1"/>
  <c r="J773" i="1"/>
  <c r="J774" i="1"/>
  <c r="J775" i="1"/>
  <c r="J776" i="1"/>
  <c r="J777" i="1"/>
  <c r="J778" i="1"/>
  <c r="J779" i="1"/>
  <c r="J780" i="1"/>
  <c r="J781" i="1"/>
  <c r="J784" i="1"/>
  <c r="J785" i="1"/>
  <c r="J786" i="1"/>
  <c r="J787" i="1"/>
  <c r="J788" i="1"/>
  <c r="J789" i="1"/>
  <c r="J790" i="1"/>
  <c r="J791" i="1"/>
  <c r="J792" i="1"/>
  <c r="J798" i="1"/>
  <c r="J799" i="1"/>
  <c r="J800" i="1"/>
  <c r="J801" i="1"/>
  <c r="J802" i="1"/>
  <c r="J803" i="1"/>
  <c r="J805" i="1"/>
  <c r="J806" i="1"/>
  <c r="J807" i="1"/>
  <c r="J808" i="1"/>
  <c r="J809" i="1"/>
  <c r="J814" i="1"/>
  <c r="J815" i="1"/>
  <c r="J817" i="1"/>
  <c r="J818" i="1"/>
  <c r="J819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9" i="1"/>
  <c r="J840" i="1"/>
  <c r="J841" i="1"/>
  <c r="J842" i="1"/>
  <c r="J843" i="1"/>
  <c r="J844" i="1"/>
  <c r="J845" i="1"/>
  <c r="J846" i="1"/>
  <c r="J850" i="1"/>
  <c r="J851" i="1"/>
  <c r="J855" i="1"/>
  <c r="J856" i="1"/>
  <c r="J857" i="1"/>
  <c r="J858" i="1"/>
  <c r="J859" i="1"/>
  <c r="J860" i="1"/>
  <c r="J861" i="1"/>
  <c r="J862" i="1"/>
  <c r="J863" i="1"/>
  <c r="J864" i="1"/>
  <c r="J867" i="1"/>
  <c r="J876" i="1"/>
  <c r="J877" i="1"/>
  <c r="J878" i="1"/>
  <c r="J879" i="1"/>
  <c r="J880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9" i="1"/>
  <c r="J911" i="1"/>
  <c r="J912" i="1"/>
  <c r="J913" i="1"/>
  <c r="J914" i="1"/>
  <c r="J917" i="1"/>
  <c r="J920" i="1"/>
  <c r="J921" i="1"/>
  <c r="J922" i="1"/>
  <c r="J923" i="1"/>
  <c r="J924" i="1"/>
  <c r="J925" i="1"/>
  <c r="J926" i="1"/>
  <c r="J927" i="1"/>
  <c r="J928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E4" i="2"/>
  <c r="E3" i="2"/>
  <c r="B3" i="2"/>
  <c r="E2" i="2"/>
  <c r="B2" i="2"/>
  <c r="B1" i="2"/>
  <c r="J3" i="1"/>
  <c r="B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tc={BB3ED39B-266E-491B-8479-8868AD623E4A}</author>
  </authors>
  <commentList>
    <comment ref="B139" authorId="0" shapeId="0" xr:uid="{BB3ED39B-266E-491B-8479-8868AD623E4A}">
      <text>
        <t>[Threaded comment]
Your version of Excel allows you to read this threaded comment; however, any edits to it will get removed if the file is opened in a newer version of Excel. Learn more: https://go.microsoft.com/fwlink/?linkid=870924
Comment:
    Pakiayos ang typing, Jimer. Thanks.</t>
      </text>
    </comment>
  </commentList>
</comments>
</file>

<file path=xl/sharedStrings.xml><?xml version="1.0" encoding="utf-8"?>
<sst xmlns="http://schemas.openxmlformats.org/spreadsheetml/2006/main" count="6607" uniqueCount="1310">
  <si>
    <t>TASK MONITORING REPORT                                                                                                                                                                                                                                                                                                                                                                                                                                   STI College Puerto Princesa</t>
  </si>
  <si>
    <t>Entry Date</t>
  </si>
  <si>
    <t>Name</t>
  </si>
  <si>
    <t>Position</t>
  </si>
  <si>
    <t>Department</t>
  </si>
  <si>
    <t>Task Category</t>
  </si>
  <si>
    <t>Specific Task</t>
  </si>
  <si>
    <t>Target Date</t>
  </si>
  <si>
    <t>Priority</t>
  </si>
  <si>
    <t>Status</t>
  </si>
  <si>
    <t>% Progress</t>
  </si>
  <si>
    <t>Remarks</t>
  </si>
  <si>
    <t>Evidence/Link</t>
  </si>
  <si>
    <t>Nimrod Palatino</t>
  </si>
  <si>
    <t>School Registrar</t>
  </si>
  <si>
    <t>Admin</t>
  </si>
  <si>
    <t>CHED</t>
  </si>
  <si>
    <t>LBP ATM Orientation</t>
  </si>
  <si>
    <t>High</t>
  </si>
  <si>
    <t>Completed</t>
  </si>
  <si>
    <t>HQ</t>
  </si>
  <si>
    <t>2T 25-26 NS Sail</t>
  </si>
  <si>
    <t>Julius Cosio</t>
  </si>
  <si>
    <t>MIS</t>
  </si>
  <si>
    <t>TAM System</t>
  </si>
  <si>
    <t>17/30/2026</t>
  </si>
  <si>
    <t>Joaquin Villanueva</t>
  </si>
  <si>
    <t>Jane Cristine Ganancial</t>
  </si>
  <si>
    <t>Alumni &amp; Placement Officer</t>
  </si>
  <si>
    <t>DBP 2024-25 Graduate Tracer</t>
  </si>
  <si>
    <t>NCF</t>
  </si>
  <si>
    <t>Conduct of NCF</t>
  </si>
  <si>
    <t>HO</t>
  </si>
  <si>
    <t>Alumni Database - Jan to Mar '26</t>
  </si>
  <si>
    <t>School Job Postings – April 2026</t>
  </si>
  <si>
    <t>School Masterlist of Partners SY2526</t>
  </si>
  <si>
    <t>Survey to Alumni for 3rd Quarter</t>
  </si>
  <si>
    <t>Follow up invites for NCF</t>
  </si>
  <si>
    <t>Ronalyn Saldavia</t>
  </si>
  <si>
    <t>Cashier</t>
  </si>
  <si>
    <t>Deposit</t>
  </si>
  <si>
    <t>Cash counting &amp; Deposit</t>
  </si>
  <si>
    <t>Mary Ellen Venice Cruz</t>
  </si>
  <si>
    <t>Guidance Counselor</t>
  </si>
  <si>
    <t>Information Service</t>
  </si>
  <si>
    <t>Mental Health Activity and Seminar with AKAPP - City Youth Development Office</t>
  </si>
  <si>
    <t>Career Guidance</t>
  </si>
  <si>
    <t>Career Planning Survey for Grade 11</t>
  </si>
  <si>
    <t xml:space="preserve">Deadline for the consolidation of data and submission to HO is on May 8, 2026. </t>
  </si>
  <si>
    <t>Sent thru email.</t>
  </si>
  <si>
    <t>Administration of MCPOA for HUMSS 11 students</t>
  </si>
  <si>
    <t>Ongoing</t>
  </si>
  <si>
    <t xml:space="preserve">Student Assisstanship </t>
  </si>
  <si>
    <t>Pending RFA Approval of SA salary (Covered period: March-April 2026)</t>
  </si>
  <si>
    <t>Approved by HO as of 5/7.</t>
  </si>
  <si>
    <t>Alumni and Placement Services</t>
  </si>
  <si>
    <t>Creation and endorsement of STI Job+ account to APO</t>
  </si>
  <si>
    <t>Medium</t>
  </si>
  <si>
    <t>Endorsed to Ms. Jane.</t>
  </si>
  <si>
    <t>Recruitment Process</t>
  </si>
  <si>
    <t>Conduct initial interview and administer pre-employment screening tests.</t>
  </si>
  <si>
    <t>Endorsed to Ms. Lamban</t>
  </si>
  <si>
    <t>Updating of GCO Daily Log</t>
  </si>
  <si>
    <t>APS &amp; SDW Career Readiness Webinar Series</t>
  </si>
  <si>
    <t xml:space="preserve">Disseminate MS forms registration link to 1y-2y and 4y tertiary students. </t>
  </si>
  <si>
    <t>5/19-20/2026</t>
  </si>
  <si>
    <t xml:space="preserve">Coordinated to Ms. Jane. Pubmats will be posted on STI official FB page. </t>
  </si>
  <si>
    <t>https://stiedu-my.sharepoint.com/:b:/g/personal/ellen_cruz_puertoprincesa_sti_edu/IQAiT-uxuJq2SIOR9e0MFqSkAYfZ1GrHgTuOAR_Z1fwhYT4?e=arpNLY</t>
  </si>
  <si>
    <t>Records</t>
  </si>
  <si>
    <t>Compilation of Certificate of Completion of Batch 24-25</t>
  </si>
  <si>
    <t>Professional Consultation</t>
  </si>
  <si>
    <t>Validation of research questionnaires for Grade 11 students</t>
  </si>
  <si>
    <t>The database is under maintenance.</t>
  </si>
  <si>
    <t>Sumakses sa Careera Webinar</t>
  </si>
  <si>
    <t>Intended for tertiary graduating students.</t>
  </si>
  <si>
    <t>Internal Training</t>
  </si>
  <si>
    <t>Student and Stakeholder Services Training Facilitation</t>
  </si>
  <si>
    <t xml:space="preserve">Training workshop preparation is ongoing. </t>
  </si>
  <si>
    <t>https://canva.link/usl9l5589dvzwhf</t>
  </si>
  <si>
    <t>Student Concerns</t>
  </si>
  <si>
    <t xml:space="preserve">Addressing student concerns </t>
  </si>
  <si>
    <t>Research paneling for BSTM 2</t>
  </si>
  <si>
    <t>Marketing</t>
  </si>
  <si>
    <t>Follow up online and walk-in registrants thru phone patch.</t>
  </si>
  <si>
    <t>Issuance of Good Moral Certificate</t>
  </si>
  <si>
    <t>Organizing Calendar of Activities</t>
  </si>
  <si>
    <t>Plotting the approved activities on the calendar planner</t>
  </si>
  <si>
    <t>Processing of SA salary (Covered period: April-May 2026)</t>
  </si>
  <si>
    <t>Follow-up student concerns</t>
  </si>
  <si>
    <t>Validating research questionnaires of G11 students</t>
  </si>
  <si>
    <t>Administration of MCPOA for STEM 11 students</t>
  </si>
  <si>
    <t xml:space="preserve">Career Planning Activity in Brgy Bagong Sikap </t>
  </si>
  <si>
    <t xml:space="preserve">Assisting AO and CO during the early enrollment </t>
  </si>
  <si>
    <t>Accomplishment of Private School Profile</t>
  </si>
  <si>
    <t>Preparation for NCF</t>
  </si>
  <si>
    <t>Student and Stakeholder Services Training Facilitation Preparation</t>
  </si>
  <si>
    <t xml:space="preserve">Processing of SA salary (Covered period: April-May 2026) </t>
  </si>
  <si>
    <t>For SA's approval</t>
  </si>
  <si>
    <t>Speaker/trainer: Mr. Butch Aiven Cabaylo, LPT</t>
  </si>
  <si>
    <t>https://employees.sti.edu/RFP/RFPView/RFP05261183</t>
  </si>
  <si>
    <t>Student and Stakeholder Services Training Facilitation's expenses liquidation</t>
  </si>
  <si>
    <t xml:space="preserve">GCO Daily Log </t>
  </si>
  <si>
    <t>Issuance of Good moral certificate</t>
  </si>
  <si>
    <t>Preparing for learning sessions for faculty members</t>
  </si>
  <si>
    <t>Preparing for First day High Activities</t>
  </si>
  <si>
    <t>Preparing for Week 0 learning session</t>
  </si>
  <si>
    <t>Preparing GUIDANCE AND COUNSELING OFFICE SERVICES DAILY LOG REPORT</t>
  </si>
  <si>
    <t>Mary Jane Licay</t>
  </si>
  <si>
    <t>Accountant/Bookkeeper</t>
  </si>
  <si>
    <t xml:space="preserve">Graduation </t>
  </si>
  <si>
    <t>RFA Consolidation</t>
  </si>
  <si>
    <t>PAYROLL</t>
  </si>
  <si>
    <t>CUT-OFF April 11-25 submitted</t>
  </si>
  <si>
    <t>validated and processed by HO</t>
  </si>
  <si>
    <t>PALECO</t>
  </si>
  <si>
    <t>PAYMENT FOR ELECTRIC FTM OF APRIL</t>
  </si>
  <si>
    <t>NATIONAL CARER FEST 2025-2026</t>
  </si>
  <si>
    <t>AVP DONE</t>
  </si>
  <si>
    <t>already credited to bank account</t>
  </si>
  <si>
    <t>MONITOR</t>
  </si>
  <si>
    <t>BANK UPLOADED &amp; AVP MONITORING EVERYDAY</t>
  </si>
  <si>
    <t>PETTY CASH LIQUIDATION APPROVED</t>
  </si>
  <si>
    <t>APPROVED</t>
  </si>
  <si>
    <t>SOA</t>
  </si>
  <si>
    <t>RFP FOR SECURITY &amp; JANITORIAL PAYROLL</t>
  </si>
  <si>
    <t xml:space="preserve">PETTY CASH </t>
  </si>
  <si>
    <t>CHECKING AND DO A VOUCHER</t>
  </si>
  <si>
    <t>AVP</t>
  </si>
  <si>
    <t>PAYMENT FOR SOUNDS &amp; LIGHT BUSINESS EXPO</t>
  </si>
  <si>
    <t>PAYMENT FOR THE RESTAURANT EXPOSURE</t>
  </si>
  <si>
    <t>Documents already dispatched to HO &amp; waiting for the authorization letter</t>
  </si>
  <si>
    <t>RFP</t>
  </si>
  <si>
    <t>STUDENT REFUND</t>
  </si>
  <si>
    <t>UPDATE</t>
  </si>
  <si>
    <t>AVP MONITORING</t>
  </si>
  <si>
    <t>Mark Jemuel Lucernas</t>
  </si>
  <si>
    <t>PAMO</t>
  </si>
  <si>
    <t xml:space="preserve">MODIFICATION FOR PAYMENT </t>
  </si>
  <si>
    <t>RECON</t>
  </si>
  <si>
    <t xml:space="preserve">RECOCIALIATION SALES TO CASHIER </t>
  </si>
  <si>
    <t xml:space="preserve">HEAD OFFICE </t>
  </si>
  <si>
    <t>RECON. FOR THE MONTH OF APRIL</t>
  </si>
  <si>
    <t xml:space="preserve">REQUEST FOR PAYMENT </t>
  </si>
  <si>
    <t>PAYMENT FOR STUDENTS RESTAURANT EXPOSURE</t>
  </si>
  <si>
    <t>Low</t>
  </si>
  <si>
    <t>INTERNAL REQUISITION OF PROWARE</t>
  </si>
  <si>
    <t>RECEIVING REPORT FOR THE YEAR OF 2026</t>
  </si>
  <si>
    <t>4/29/2026</t>
  </si>
  <si>
    <t>AOC for Sound System</t>
  </si>
  <si>
    <t>PAYMENT FOR ARTISAN</t>
  </si>
  <si>
    <t xml:space="preserve">PURCHASE ORDER </t>
  </si>
  <si>
    <t>AZIZA PARADISE HOTEL &amp; STUDENTS RESTAURANT EXPOSURE</t>
  </si>
  <si>
    <t>INTERNAL REQUISITION</t>
  </si>
  <si>
    <t>low</t>
  </si>
  <si>
    <t>INTERNAL REQUISITION (PROWARE)</t>
  </si>
  <si>
    <t>ONGOING</t>
  </si>
  <si>
    <t>Deborah Abbas</t>
  </si>
  <si>
    <t>Admissions Officer</t>
  </si>
  <si>
    <t>RFA for STI Wallclock</t>
  </si>
  <si>
    <t>TESDA</t>
  </si>
  <si>
    <t>Photo Evidence of Physical Facility</t>
  </si>
  <si>
    <t>Joshua Alonsagay</t>
  </si>
  <si>
    <t>Faculty</t>
  </si>
  <si>
    <t>IT</t>
  </si>
  <si>
    <t>Track ELMS notifications for TESDA teaching assignments.</t>
  </si>
  <si>
    <t>Jemaica Cortez</t>
  </si>
  <si>
    <t>SHS</t>
  </si>
  <si>
    <t>Class</t>
  </si>
  <si>
    <t xml:space="preserve">Online class Practical Research 1 and Monitor research </t>
  </si>
  <si>
    <t>Updating of Technology Asset Management (TAM) System</t>
  </si>
  <si>
    <t>Maricel B. Lamban</t>
  </si>
  <si>
    <t>Librarian</t>
  </si>
  <si>
    <t>Inventory new books</t>
  </si>
  <si>
    <t>Checking delivered books from EEMS Bookstore</t>
  </si>
  <si>
    <t>Done</t>
  </si>
  <si>
    <t>Ernesto belano</t>
  </si>
  <si>
    <t>GE</t>
  </si>
  <si>
    <t>Online class Business Ethics and social Responsibility</t>
  </si>
  <si>
    <t>Fely Erika G. Nario</t>
  </si>
  <si>
    <t>THM</t>
  </si>
  <si>
    <t>MICE</t>
  </si>
  <si>
    <t>Monitoring and Evaluating BSHM2, BSTM2 A&amp;B Small-scale event execution</t>
  </si>
  <si>
    <t>Done event po</t>
  </si>
  <si>
    <t>https://stiedu-my.sharepoint.com/personal/michaelkim_palay_puertoprincesa_sti_edu/_layouts/15/onedrive.aspx?id=%2Fpersonal%2Fmichaelkim%5Fpalay%5Fpuertoprincesa%5Fsti%5Fedu%2FDocuments%2FRepository%20Faculty%20Members%2FRepository%20SY2526%2FREPOSITORY%202T2526%2FNARIO%2C%20FELY%20ERIKA%2FDocumentation&amp;viewid=080e1a7c%2D27d6%2D482e%2Daa99%2D0b8e8943888e</t>
  </si>
  <si>
    <t>John Karl L. Leona</t>
  </si>
  <si>
    <t>BSAIS 1 - NSTP II Online meeting/progress checking on their survey analysis</t>
  </si>
  <si>
    <t>Jamil J. Garados</t>
  </si>
  <si>
    <t>Business Exposition</t>
  </si>
  <si>
    <t>Facilitate the creation of garlands, program draft, certificate draft, stage decorations, and floor plan.</t>
  </si>
  <si>
    <t>Letter</t>
  </si>
  <si>
    <t>Sending a letter of invitation for Feasibility Study Defense Panelists</t>
  </si>
  <si>
    <t>Done Invitation po</t>
  </si>
  <si>
    <t>https://stiedu-my.sharepoint.com/personal/michaelkim_palay_puertoprincesa_sti_edu/_layouts/15/onedrive.aspx?id=%2Fpersonal%2Fmichaelkim%5Fpalay%5Fpuertoprincesa%5Fsti%5Fedu%2FDocuments%2FRepository%20Faculty%20Members%2FRepository%20SY2526%2FREPOSITORY%202T2526%2FNARIO%2C%20FELY%20ERIKA%2FDocumentation%2FFSD%20Panelists%20Invitation%20Letter&amp;viewid=080e1a7c%2D27d6%2D482e%2Daa99%2D0b8e8943888e</t>
  </si>
  <si>
    <t>Jemuel C Abordo</t>
  </si>
  <si>
    <t>Communication Officer</t>
  </si>
  <si>
    <t>Promotion</t>
  </si>
  <si>
    <t xml:space="preserve">Posting on FB page </t>
  </si>
  <si>
    <t>posted</t>
  </si>
  <si>
    <t>Defense</t>
  </si>
  <si>
    <t xml:space="preserve">FS Defense of BSHM103 (Ergonomics &amp; Facilities Planning for the Hospitality Industry) </t>
  </si>
  <si>
    <t>Done Defense po</t>
  </si>
  <si>
    <t>https://stiedu-my.sharepoint.com/personal/michaelkim_palay_puertoprincesa_sti_edu/_layouts/15/onedrive.aspx?id=%2Fpersonal%2Fmichaelkim%5Fpalay%5Fpuertoprincesa%5Fsti%5Fedu%2FDocuments%2FRepository%20Faculty%20Members%2FRepository%20SY2526%2FREPOSITORY%202T2526%2FNARIO%2C%20FELY%20ERIKA%2FDocumentation%2FFS%20Defense&amp;viewid=080e1a7c%2D27d6%2D482e%2Daa99%2D0b8e8943888e</t>
  </si>
  <si>
    <t>Quipquip,Jimer M.</t>
  </si>
  <si>
    <t xml:space="preserve">Faculty </t>
  </si>
  <si>
    <t>Class, delivery of letter to brgy and PNP, create reviewer and quizzes for the upcoming exam.</t>
  </si>
  <si>
    <t>Done class, printing of papers, on going reviewers and quiz making</t>
  </si>
  <si>
    <t xml:space="preserve">Meeting for marketing </t>
  </si>
  <si>
    <t>Done Meeting</t>
  </si>
  <si>
    <t>Mark Jayson Mollejon</t>
  </si>
  <si>
    <t>P.E and Health face-to-face class</t>
  </si>
  <si>
    <t>Final Practical Examination</t>
  </si>
  <si>
    <t>BSHM102 Fine Dining &amp; Restaurant Exposure at Hotel Fleuris</t>
  </si>
  <si>
    <t>Done na po ( JUNE 1, 2026)</t>
  </si>
  <si>
    <t>https://stiedu-my.sharepoint.com/personal/michaelkim_palay_puertoprincesa_sti_edu/_layouts/15/onedrive.aspx?id=%2Fpersonal%2Fmichaelkim%5Fpalay%5Fpuertoprincesa%5Fsti%5Fedu%2FDocuments%2FRepository%20Faculty%20Members%2FRepository%20SY2526%2FREPOSITORY%202T2526%2FNARIO%2C%20FELY%20ERIKA%2FDocumentation%2FFine%20Dining%20Activity%20at%20Hotel%20Fleuris&amp;viewid=080e1a7c%2D27d6%2D482e%2Daa99%2D0b8e8943888e</t>
  </si>
  <si>
    <t>Validating and checking open scholarship examiners results.</t>
  </si>
  <si>
    <t xml:space="preserve">Call and follow-up online application </t>
  </si>
  <si>
    <t>Class/review</t>
  </si>
  <si>
    <t>Conduct a class and review for the incoming exam</t>
  </si>
  <si>
    <t>Darlyn S. Papica</t>
  </si>
  <si>
    <t>Face to Face Class</t>
  </si>
  <si>
    <t>Laboratory of Computer/Web Programming 6</t>
  </si>
  <si>
    <t>Done Laboratory</t>
  </si>
  <si>
    <t>Marry Jussle Mapanao</t>
  </si>
  <si>
    <t>CATERING</t>
  </si>
  <si>
    <t xml:space="preserve"> PACK SNACK Catering of HM3  to SEMINAR (TM1 A&amp;B  and HM1) FINAL EXAM</t>
  </si>
  <si>
    <t>https://stiedu-my.sharepoint.com/personal/michaelkim_palay_puertoprincesa_sti_edu/_layouts/15/onedrive.aspx?viewid=080e1a7c%2D27d6%2D482e%2Daa99%2D0b8e8943888e&amp;id=%2Fpersonal%2Fmichaelkim%5Fpalay%5Fpuertoprincesa%5Fsti%5Fedu%2FDocuments%2FRepository%20Faculty%20Members%2FRepository%20SY2526%2FREPOSITORY%202T2526%2FMAPANAO%2C%20MARRY%20JUSSLE%2FONLINE%20CLASS%20DOCUMENTATION%2FHM3%20SNACKS%20FOR%20SEMINAR%2Ejpg&amp;parent=%2Fpersonal%2Fmichaelkim%5Fpalay%5Fpuertoprincesa%5Fsti%5Fedu%2FDocuments%2FRepository%20Faculty%20Members%2FRepository%20SY2526%2FREPOSITORY%202T2526%2FMAPANAO%2C%20MARRY%20JUSSLE%2FONLINE%20CLASS%20DOCUMENTATION</t>
  </si>
  <si>
    <t>Online Class</t>
  </si>
  <si>
    <t>Lecture for Empowerment Techonology</t>
  </si>
  <si>
    <t>Done online class</t>
  </si>
  <si>
    <t>STI Scholarship Exam</t>
  </si>
  <si>
    <t>Upload result of STI Scholarship exam.</t>
  </si>
  <si>
    <t xml:space="preserve">Communication Officer </t>
  </si>
  <si>
    <t xml:space="preserve">Career Camp/Open scholarship exam </t>
  </si>
  <si>
    <t>To conduct baking camp and open scholarship exam</t>
  </si>
  <si>
    <t>Reno S. Soriano</t>
  </si>
  <si>
    <t>Class/Business Expo</t>
  </si>
  <si>
    <t>Online Class-STEM 11/Drafts of certificates (judges, students, and teachers)</t>
  </si>
  <si>
    <t xml:space="preserve">Petty Cash </t>
  </si>
  <si>
    <t>Petty Cash released to Ma'am Rona</t>
  </si>
  <si>
    <t>Petty Cash released to Sir Joaquin</t>
  </si>
  <si>
    <t>Repair and Maintenance</t>
  </si>
  <si>
    <t>Repair of dining room lavatory</t>
  </si>
  <si>
    <t>Laurice Jade Santiago</t>
  </si>
  <si>
    <t>Program Head</t>
  </si>
  <si>
    <t>Student Activity</t>
  </si>
  <si>
    <t>RESTAURANT EXPOSURE - FUNDAMENTALS IN FOOD SERVICE OPERATIONS deadline of payment</t>
  </si>
  <si>
    <t>The event was moved to May 29, 2026</t>
  </si>
  <si>
    <t>SEMINAR</t>
  </si>
  <si>
    <t>BSTM101 Micro Perspective of Tourism and Hospitality Final Examination</t>
  </si>
  <si>
    <t>https://stiedu-my.sharepoint.com/personal/michaelkim_palay_puertoprincesa_sti_edu/_layouts/15/onedrive.aspx?viewid=080e1a7c%2D27d6%2D482e%2Daa99%2D0b8e8943888e&amp;id=%2Fpersonal%2Fmichaelkim%5Fpalay%5Fpuertoprincesa%5Fsti%5Fedu%2FDocuments%2FRepository%20Faculty%20Members%2FRepository%20SY2526%2FREPOSITORY%202T2526%2FMAPANAO%2C%20MARRY%20JUSSLE%2FONLINE%20CLASS%20DOCUMENTATION%2FIMG%5F7990%2EJPEG&amp;parent=%2Fpersonal%2Fmichaelkim%5Fpalay%5Fpuertoprincesa%5Fsti%5Fedu%2FDocuments%2FRepository%20Faculty%20Members%2FRepository%20SY2526%2FREPOSITORY%202T2526%2FMAPANAO%2C%20MARRY%20JUSSLE%2FONLINE%20CLASS%20DOCUMENTATION</t>
  </si>
  <si>
    <t>Mark Nel J. Avelino</t>
  </si>
  <si>
    <t>General Bilogy (Grade 11 STEM) Earth and Life Science (Grade 11 HUMSS) Genral Physics (Grade 12 STEM A)</t>
  </si>
  <si>
    <t>BSTM 1B - NSTP II Online meeting/progress checking on their survey analysis</t>
  </si>
  <si>
    <t>COS calling</t>
  </si>
  <si>
    <t>STI Career Camp</t>
  </si>
  <si>
    <t>Bakers Camp</t>
  </si>
  <si>
    <t>Done Bakers Camp</t>
  </si>
  <si>
    <t>https://stiedu-my.sharepoint.com/personal/michaelkim_palay_puertoprincesa_sti_edu/_layouts/15/onedrive.aspx?id=%2Fpersonal%2Fmichaelkim%5Fpalay%5Fpuertoprincesa%5Fsti%5Fedu%2FDocuments%2FRepository%20Faculty%20Members%2FRepository%20SY2526%2FREPOSITORY%202T2526%2FNARIO%2C%20FELY%20ERIKA%2FDocumentation%2FBakers%20Camp&amp;viewid=080e1a7c%2D27d6%2D482e%2Daa99%2D0b8e8943888e</t>
  </si>
  <si>
    <t>Seminar</t>
  </si>
  <si>
    <t>BSHM101 Micro Perspective of Tourism and Hospitality Final Examination</t>
  </si>
  <si>
    <t>Sencillo, Romel Marc C.</t>
  </si>
  <si>
    <t xml:space="preserve">Transportation Management </t>
  </si>
  <si>
    <t>Done ol class</t>
  </si>
  <si>
    <t>Meeting for marketing  promotional video with Sir Abordo</t>
  </si>
  <si>
    <t>Setup sounds system</t>
  </si>
  <si>
    <t>Setup sound system for THM 2nd year students event</t>
  </si>
  <si>
    <t>Esmas, Danilyn B.</t>
  </si>
  <si>
    <t>Work Immersion consultation of their Portfolio</t>
  </si>
  <si>
    <t>ONLINE CLASSES DOCUMENTATION</t>
  </si>
  <si>
    <t>F-to-F Class</t>
  </si>
  <si>
    <t>CPAR (Soap carving and paper mat weaving)</t>
  </si>
  <si>
    <t>Career Adviser</t>
  </si>
  <si>
    <t>Posting</t>
  </si>
  <si>
    <t>Posting of HM and TM event</t>
  </si>
  <si>
    <t>Reporting of TM1 A&amp;B  Micro Module 8 (performance task)</t>
  </si>
  <si>
    <t>Petty Cash released to Sir Julius</t>
  </si>
  <si>
    <t>Petty Cash released to Supplier</t>
  </si>
  <si>
    <t>Discussion with ABM 12-CPAR</t>
  </si>
  <si>
    <t xml:space="preserve">TESDA Online Filling </t>
  </si>
  <si>
    <t>Update the document to be submitted to TESDA</t>
  </si>
  <si>
    <t>Prepare computer for TESDA on-site inspection tomorrow</t>
  </si>
  <si>
    <t>4/30.2026</t>
  </si>
  <si>
    <t xml:space="preserve">Petty cash fund returned to Sir Kim ( vault) </t>
  </si>
  <si>
    <t>Diana M. Estañero</t>
  </si>
  <si>
    <t>F2F and Online Class</t>
  </si>
  <si>
    <t>Online Class-BSAIS 1 and ABM12, stem12-B F2F long quiz, Follow up sponsorship in Business Expo, Return and Get sample size of Tshirt for Busines Expo</t>
  </si>
  <si>
    <t>Done online and F2F Class</t>
  </si>
  <si>
    <t>https://stiedu-my.sharepoint.com/personal/michaelkim_palay_puertoprincesa_sti_edu/_layouts/15/onedrive.aspx?id=%2Fpersonal%2Fmichaelkim%5Fpalay%5Fpuertoprincesa%5Fsti%5Fedu%2FDocuments%2FRepository%20Faculty%20Members%2FRepository%20SY2526%2FREPOSITORY%202T2526%2FESTA%C3%91ERO%2C%20DIANA%2FEsta%C3%B1ero%20Accomplishment%20Supporting%20Documents%202026&amp;viewid=080e1a7c%2D27d6%2D482e%2Daa99%2D0b8e8943888e</t>
  </si>
  <si>
    <t xml:space="preserve">Summative Exam of Systems Administration and Maintenance BSIT 10B </t>
  </si>
  <si>
    <t>Conducted Online Summative Examination/Consultations</t>
  </si>
  <si>
    <t>Ernesto Belano</t>
  </si>
  <si>
    <t>Conduct Summative Examination</t>
  </si>
  <si>
    <t xml:space="preserve">Jimer M. Quipquip </t>
  </si>
  <si>
    <t>Review,Activity, and Summative exam</t>
  </si>
  <si>
    <t xml:space="preserve">Review and activity </t>
  </si>
  <si>
    <t>Continuation of the discussion in Catering Mngt.  and Intro to bread and pastry to CUART</t>
  </si>
  <si>
    <t>Catering and food exhibit-CUART12</t>
  </si>
  <si>
    <t>https://stiedu-my.sharepoint.com/personal/michaelkim_palay_puertoprincesa_sti_edu/_layouts/15/onedrive.aspx?id=%2Fpersonal%2Fmichaelkim%5Fpalay%5Fpuertoprincesa%5Fsti%5Fedu%2FDocuments%2FRepository%20Faculty%20Members%2FRepository%20SY2526%2FREPOSITORY%202T2526%2FMAPANAO%2C%20MARRY%20JUSSLE%2FActivities%20documentation%2FCUART%20Catering&amp;viewid=080e1a7c%2D27d6%2D482e%2Daa99%2D0b8e8943888e&amp;ga=1</t>
  </si>
  <si>
    <t xml:space="preserve">ELMS </t>
  </si>
  <si>
    <t>Checking of Quiz, Activities, Performance Task in ELMS</t>
  </si>
  <si>
    <t>Joshua P. Alonsagay</t>
  </si>
  <si>
    <t>ELMS</t>
  </si>
  <si>
    <t>Print Summary of Grade, Revision Sheet, &amp; Grading Sheet</t>
  </si>
  <si>
    <t>Done Print po</t>
  </si>
  <si>
    <t>Restaurant Exposure</t>
  </si>
  <si>
    <t>Print SOA</t>
  </si>
  <si>
    <t>Supply Chain Management - Summative Test</t>
  </si>
  <si>
    <t>Done po</t>
  </si>
  <si>
    <t>Discussion with TOPER 12</t>
  </si>
  <si>
    <t>done po</t>
  </si>
  <si>
    <t>Print Certificates</t>
  </si>
  <si>
    <t>Lee Roy Fabregas</t>
  </si>
  <si>
    <t>ELMS Activity ITMAWD 12</t>
  </si>
  <si>
    <t>Summative Exam Discrete Math</t>
  </si>
  <si>
    <t>Reading and Writing (STEM 11, ABM/ITMAWD 11)</t>
  </si>
  <si>
    <t>ELMS Checking</t>
  </si>
  <si>
    <t>checking of  activities/assignments</t>
  </si>
  <si>
    <t>Given activities to Humss for their Disiciplines and Ideas for Social Studies class</t>
  </si>
  <si>
    <t>UCSP Humss</t>
  </si>
  <si>
    <t>CPAR TOPER 12 Discussion</t>
  </si>
  <si>
    <t>UCSP STEM 11 Discussion Module 4</t>
  </si>
  <si>
    <t>Checking of the activities and transfer it to  gradesheets</t>
  </si>
  <si>
    <t>Art Aprreciation: Abstract and Exprential Arts Prresentation Day 2. (BSAIS 2)</t>
  </si>
  <si>
    <t>Joaquin F. Villanueva</t>
  </si>
  <si>
    <t>Grad Photo Supplier</t>
  </si>
  <si>
    <t>Deliver selected softcopy of graduation pictorial photo to supplier for editing</t>
  </si>
  <si>
    <t>Mea Ann V. Diaz</t>
  </si>
  <si>
    <t>AH</t>
  </si>
  <si>
    <t>Pre-final Exam</t>
  </si>
  <si>
    <t xml:space="preserve">Printing of Class list by instructor </t>
  </si>
  <si>
    <t>Online Classes</t>
  </si>
  <si>
    <t>Discussion (ABM/ITMAWD 11/HUMSS 11)</t>
  </si>
  <si>
    <t>Joaquin  F. Villanueva</t>
  </si>
  <si>
    <t>Re-Arrange comlab</t>
  </si>
  <si>
    <t>Re-arrange all computer unit at comlab to its original setup</t>
  </si>
  <si>
    <t>Going to the supplier</t>
  </si>
  <si>
    <t>Going to Olympic to personally submit the proof of payment and pick-up the ordered materials for making bookshelves for Library</t>
  </si>
  <si>
    <t>Checking Intern</t>
  </si>
  <si>
    <t>Monitoring and verify how many remaining hours they still need to complete.</t>
  </si>
  <si>
    <t>PH</t>
  </si>
  <si>
    <t>TH</t>
  </si>
  <si>
    <t>Domestic Tour Package Presentation</t>
  </si>
  <si>
    <t>https://teams.microsoft.com/l/meetup-join/19%3ameeting_ZGEzN2ZhNWEtNGE5MS00ZmFmLThkMDItMjU0ZDA3M2Q2NjUy%40thread.v2/0?context=%7b%22Tid%22%3a%220e03093b-79f8-40d3-ac5c-3f75ee50369d%22%2c%22Oid%22%3a%220ebcffb3-b923-4228-a7f6-5b7478de84e1%22%7d</t>
  </si>
  <si>
    <t>Ronalyn L. Saldavia</t>
  </si>
  <si>
    <t xml:space="preserve">Jemuel C. Abordo </t>
  </si>
  <si>
    <t>To post recent activities at of STI PPR</t>
  </si>
  <si>
    <t>Deborah M. Abbas</t>
  </si>
  <si>
    <t>RFA Budget for promotion (Brigada Eskwela)</t>
  </si>
  <si>
    <t>Buying materials for Brigada Eskela</t>
  </si>
  <si>
    <t>Julius C. Cosio</t>
  </si>
  <si>
    <t>AO</t>
  </si>
  <si>
    <t>Check the Admision Officer Computer</t>
  </si>
  <si>
    <t xml:space="preserve">COMMITTEE </t>
  </si>
  <si>
    <t>Create Letter and deliver to PNP and Brgy. Model for request of personnel.</t>
  </si>
  <si>
    <t xml:space="preserve">Checking and grading of activities </t>
  </si>
  <si>
    <t>Reporting per Group</t>
  </si>
  <si>
    <t>Bussiness Exposition Props Preparation</t>
  </si>
  <si>
    <t xml:space="preserve">Making garland </t>
  </si>
  <si>
    <t>Exam paper</t>
  </si>
  <si>
    <t>Get the exam papers in printing shop</t>
  </si>
  <si>
    <t>PEAC</t>
  </si>
  <si>
    <t>Deposit/Payment for PEAC at BPI</t>
  </si>
  <si>
    <t>Petty Cash</t>
  </si>
  <si>
    <t xml:space="preserve">Preparing Petty Cash voucher and receipt for the fund replineshment report to be submitted to H.O </t>
  </si>
  <si>
    <t>Assist School Nurse Applicant( Printing exam and Interview Assestment form)</t>
  </si>
  <si>
    <t>EXPO</t>
  </si>
  <si>
    <t>Preparing the materials for designs/ Garland Making</t>
  </si>
  <si>
    <t>Karen Toreffiel</t>
  </si>
  <si>
    <t>F2F Class</t>
  </si>
  <si>
    <t>Pathfit 2 Class with BSIT 1A</t>
  </si>
  <si>
    <t>PE 4 reporting with STEM 12B</t>
  </si>
  <si>
    <t>GE Ethics Online Review (BSIT 1B)</t>
  </si>
  <si>
    <t>Feasibilty Defense</t>
  </si>
  <si>
    <t>Panelist</t>
  </si>
  <si>
    <t>https://stiedu-my.sharepoint.com/personal/michaelkim_palay_puertoprincesa_sti_edu/_layouts/15/onedrive.aspx?id=%2Fpersonal%2Fmichaelkim%5Fpalay%5Fpuertoprincesa%5Fsti%5Fedu%2FDocuments%2FRepository%20Faculty%20Members%2FRepository%20SY2526%2FREPOSITORY%202T2526%2FMAPANAO%2C%20MARRY%20JUSSLE%2FActivities%20documentation&amp;viewid=080e1a7c%2D27d6%2D482e%2Daa99%2D0b8e8943888e</t>
  </si>
  <si>
    <t xml:space="preserve">Feasibility Defense </t>
  </si>
  <si>
    <t>Re-arrange Registrar's Computer</t>
  </si>
  <si>
    <t xml:space="preserve">Re-arrange registrar's computer and fixing all cable </t>
  </si>
  <si>
    <t>F2F class</t>
  </si>
  <si>
    <t>Class discussion for Reading and Writing/PR1 - ABM/ITMAWD 11</t>
  </si>
  <si>
    <t xml:space="preserve">Business Exposition </t>
  </si>
  <si>
    <t>Buy the remaining materials.</t>
  </si>
  <si>
    <t>Facilitate the creation of the program draft, certificate draft, stage decorations, and floor plan.</t>
  </si>
  <si>
    <t>Pre-Final examination</t>
  </si>
  <si>
    <t>Proctor BSTM 2B / ETHICS</t>
  </si>
  <si>
    <t>Proctor BSHM 3/ Strategic Management</t>
  </si>
  <si>
    <t>Done na po</t>
  </si>
  <si>
    <t>OJT</t>
  </si>
  <si>
    <t>checking integration paper</t>
  </si>
  <si>
    <t>Jemuel C. Abordo</t>
  </si>
  <si>
    <t>To call and follow up online registrants for 5/5/2026</t>
  </si>
  <si>
    <t xml:space="preserve">Marketing </t>
  </si>
  <si>
    <t>To post enrollment ongoing for SHS and Tertiary</t>
  </si>
  <si>
    <t>Pre FINAL Exam</t>
  </si>
  <si>
    <t>Proctoring BSHM2 and BSAIS 1</t>
  </si>
  <si>
    <t>Canvass/Follow up</t>
  </si>
  <si>
    <t>Business Expo Sponsorship Plaque, Sublimation Polo Shirt</t>
  </si>
  <si>
    <t>Diana M. EStañero</t>
  </si>
  <si>
    <t>Checking of activities in ELMS</t>
  </si>
  <si>
    <t>5/5/.026</t>
  </si>
  <si>
    <t>Sorting Papers</t>
  </si>
  <si>
    <t>Prefi Exam</t>
  </si>
  <si>
    <t>Proctorship BSTM2A Ethics and STS</t>
  </si>
  <si>
    <t>Checking of activities and transfer to grade sheet</t>
  </si>
  <si>
    <t>Jemaica A. Cortez</t>
  </si>
  <si>
    <t xml:space="preserve">Checking of activities elms </t>
  </si>
  <si>
    <t>Jemaica  Cortez</t>
  </si>
  <si>
    <t>Monitor data gathering of HUMSS in PR1</t>
  </si>
  <si>
    <t>Proctor BSTM 3</t>
  </si>
  <si>
    <t>Enrollment</t>
  </si>
  <si>
    <t>Monitoring of WIRE</t>
  </si>
  <si>
    <t>Call and follow up online registrants</t>
  </si>
  <si>
    <t>Reply messages and inquiries at FB Page</t>
  </si>
  <si>
    <t>Checking of all admin office computers</t>
  </si>
  <si>
    <t xml:space="preserve">Checking all admin personnel computers and setup their " MS Teams", and bookmarks the "Task Monitoring Report" on their internet Browser. </t>
  </si>
  <si>
    <t>Checking and monitoring of PPR fb page engagement data</t>
  </si>
  <si>
    <t>Updating of WIRE for 5/5/2025</t>
  </si>
  <si>
    <t>Proctor BSAIS 2 ETHICS</t>
  </si>
  <si>
    <t>Fix the computer issue</t>
  </si>
  <si>
    <t>Remove Computer from Faculty Table</t>
  </si>
  <si>
    <t>SOS</t>
  </si>
  <si>
    <t>Upload results of SOS exam.</t>
  </si>
  <si>
    <t>Make-Up class with TM1A</t>
  </si>
  <si>
    <t>Buy materials for Business Exposition</t>
  </si>
  <si>
    <t>Karen Torrefiel</t>
  </si>
  <si>
    <t>https://stiedu-my.sharepoint.com/personal/michaelkim_palay_puertoprincesa_sti_edu/_layouts/15/onedrive.aspx?id=%2Fpersonal%2Fmichaelkim%5Fpalay%5Fpuertoprincesa%5Fsti%5Fedu%2FDocuments%2FRepository%20Faculty%20Members%2FRepository%20SY2526%2FREPOSITORY%202T2526%2FMAPANAO%2C%20MARRY%20JUSSLE&amp;viewid=080e1a7c%2D27d6%2D482e%2Daa99%2D0b8e8943888e</t>
  </si>
  <si>
    <t>Jamil Garados</t>
  </si>
  <si>
    <t>Pre-Final Examination</t>
  </si>
  <si>
    <t>Proctored BSAIS 3</t>
  </si>
  <si>
    <t>Academic Head</t>
  </si>
  <si>
    <t>AMT</t>
  </si>
  <si>
    <t xml:space="preserve">Monitoring </t>
  </si>
  <si>
    <t>Proctorship BSHM 2 STS</t>
  </si>
  <si>
    <t>Proctorship</t>
  </si>
  <si>
    <t>email/ contact Litera Trading inc. ( Book Supplier ) for Statement of Account</t>
  </si>
  <si>
    <t>John Paul M. Odasco</t>
  </si>
  <si>
    <t>AP</t>
  </si>
  <si>
    <t>Collection of Test Paper from Printing Shop</t>
  </si>
  <si>
    <t>Morning monitoring</t>
  </si>
  <si>
    <t>Creating Rubrics for Major and Minor Awards</t>
  </si>
  <si>
    <t>Face to Face</t>
  </si>
  <si>
    <t>Principle Marketing Reporting</t>
  </si>
  <si>
    <t xml:space="preserve">Proctorship </t>
  </si>
  <si>
    <t>Proctored 3 subjects</t>
  </si>
  <si>
    <t>Follow-up letters for Business expo in PPC City Hall</t>
  </si>
  <si>
    <t>Grading</t>
  </si>
  <si>
    <t>Giving grades- Tertiary (recording)</t>
  </si>
  <si>
    <t>Cash Released for Reinbursement to Sir Kim</t>
  </si>
  <si>
    <t>Upload results of SOS exam</t>
  </si>
  <si>
    <t>Cash Collection</t>
  </si>
  <si>
    <t>Cash Collection Day reported to sir  (Vault)</t>
  </si>
  <si>
    <t>Proctor BSAIS 3 / Information system operation &amp; Maintenance</t>
  </si>
  <si>
    <t xml:space="preserve">Proctor BSAIS 3 / Strategic Cost Mgt. </t>
  </si>
  <si>
    <t>Creative Writing (HUMSS 11)</t>
  </si>
  <si>
    <t>Nathalie Shane Abia</t>
  </si>
  <si>
    <t>Empowerment Technologies (TOPPER 12)</t>
  </si>
  <si>
    <t>Liquidation</t>
  </si>
  <si>
    <t>Creation of additional designs and needs.</t>
  </si>
  <si>
    <t>Mark  Nel J. Avelino</t>
  </si>
  <si>
    <t>General  Biology(Grade 11  STEM)  Earth and Lfe Science (Grade 11 HUMSS) General Chemistry (Grade 12 STEM A)</t>
  </si>
  <si>
    <t>Mark Jayson G. Mollejon</t>
  </si>
  <si>
    <t xml:space="preserve">PE and Health </t>
  </si>
  <si>
    <t>Lloyd B. Lomoljo</t>
  </si>
  <si>
    <t>IT Dept Head</t>
  </si>
  <si>
    <t>Room to room Examination Monitoring</t>
  </si>
  <si>
    <t>Proctored BSAIS 1&amp;2</t>
  </si>
  <si>
    <t>Proctored  BSAIS 1</t>
  </si>
  <si>
    <t>Business Expo</t>
  </si>
  <si>
    <t>Editing certificates of students for Business Expo</t>
  </si>
  <si>
    <t>Proctored BSAIS 2</t>
  </si>
  <si>
    <t>Proctor BSTM101-A</t>
  </si>
  <si>
    <t>Proctored BSTM 3 and BSIT1</t>
  </si>
  <si>
    <t>To follow up student from online Application</t>
  </si>
  <si>
    <t>To validate and check open scholarship exam results</t>
  </si>
  <si>
    <t>Request for payment</t>
  </si>
  <si>
    <t xml:space="preserve">Scanned documents and process payment for book and journals </t>
  </si>
  <si>
    <t>Giving Activities In Elms</t>
  </si>
  <si>
    <t>General Biology (Grade 11 STEM) Earth Science (Grade 11 HUMSS) General Chemistry (Grade 12  STEM A)</t>
  </si>
  <si>
    <t>FCCE</t>
  </si>
  <si>
    <t>Orientation for FCCE</t>
  </si>
  <si>
    <t>DONE DEPOSIT</t>
  </si>
  <si>
    <t>Proctor BSIT 2</t>
  </si>
  <si>
    <t>Program finalization</t>
  </si>
  <si>
    <t>done</t>
  </si>
  <si>
    <t>Programs - OneDrive</t>
  </si>
  <si>
    <t>Prepare materials for expo</t>
  </si>
  <si>
    <t>elms</t>
  </si>
  <si>
    <t>checking of activities/ Giving activities</t>
  </si>
  <si>
    <t xml:space="preserve">Prepare Materials </t>
  </si>
  <si>
    <t>FCCE System</t>
  </si>
  <si>
    <t>Setup SEB for FCCE</t>
  </si>
  <si>
    <t>Proctored BSIT 3 Wed System and Tech.</t>
  </si>
  <si>
    <t>make a design of STI Expo talento</t>
  </si>
  <si>
    <t>Sencillo, Romel Marc</t>
  </si>
  <si>
    <t>Parent/Student consent</t>
  </si>
  <si>
    <t>double checking the consents of students for incoming tour</t>
  </si>
  <si>
    <t>Ronalyn l. Saldavia</t>
  </si>
  <si>
    <t>cashier</t>
  </si>
  <si>
    <t>admin</t>
  </si>
  <si>
    <t>cash counting</t>
  </si>
  <si>
    <t>Cash Collection Day reported to sir kim (Vault)</t>
  </si>
  <si>
    <t>Graduation</t>
  </si>
  <si>
    <t>Check the names of graduates in the presentation</t>
  </si>
  <si>
    <t>Academics</t>
  </si>
  <si>
    <t>Meeting with MICE Coordinators</t>
  </si>
  <si>
    <t>MICE MACRO EVENT x TH CULMINATING | Meeting-Join | Microsoft Teams</t>
  </si>
  <si>
    <t>Online  Class</t>
  </si>
  <si>
    <t>Earth  and Life  Science  (ABM/ITMAWD  11)</t>
  </si>
  <si>
    <t>Encoding of Quizzes and TPs</t>
  </si>
  <si>
    <t>Completing the requirements for the Educational tour on May 11, 2026</t>
  </si>
  <si>
    <t>TOUR CONCLUDED</t>
  </si>
  <si>
    <t>Promotions/Marketing</t>
  </si>
  <si>
    <t xml:space="preserve">Posting of OJT's accomplishment </t>
  </si>
  <si>
    <t>Scheduled for posting 8;40 am today</t>
  </si>
  <si>
    <t xml:space="preserve">Career Adviser </t>
  </si>
  <si>
    <t>Call and follow up online registrants for 5/8/26</t>
  </si>
  <si>
    <t xml:space="preserve">Medium </t>
  </si>
  <si>
    <t>Giving Activity  in  Elms</t>
  </si>
  <si>
    <t>(STEM 12 A) (STEM 12 B) (ABM/ITMAWD 11)</t>
  </si>
  <si>
    <t>5/</t>
  </si>
  <si>
    <t>HIgh</t>
  </si>
  <si>
    <t>Proctored BSIT 1A</t>
  </si>
  <si>
    <t xml:space="preserve">Proctored BSIT2 </t>
  </si>
  <si>
    <t>HIGH</t>
  </si>
  <si>
    <t>Editing certificates for students, sponsors, judges/printing</t>
  </si>
  <si>
    <t>Kitchen laboratory</t>
  </si>
  <si>
    <t>Cake Decorating</t>
  </si>
  <si>
    <t>https://stiedu-my.sharepoint.com/personal/michaelkim_palay_puertoprincesa_sti_edu/_layouts/15/onedrive.aspx?viewid=080e1a7c%2D27d6%2D482e%2Daa99%2D0b8e8943888e&amp;id=%2Fpersonal%2Fmichaelkim%5Fpalay%5Fpuertoprincesa%5Fsti%5Fedu%2FDocuments%2FRepository%20Faculty%20Members%2FRepository%20SY2526%2FREPOSITORY%202T2526%2FMAPANAO%2C%20MARRY%20JUSSLE%2FActivities%20documentation%2FCAKE%20DECO%2Ejpg&amp;parent=%2Fpersonal%2Fmichaelkim%5Fpalay%5Fpuertoprincesa%5Fsti%5Fedu%2FDocuments%2FRepository%20Faculty%20Members%2FRepository%20SY2526%2FREPOSITORY%202T2526%2FMAPANAO%2C%20MARRY%20JUSSLE%2FActivities%20documentation</t>
  </si>
  <si>
    <t>Mark Jayson G, Mollejon</t>
  </si>
  <si>
    <t>Proctored BSIT 3</t>
  </si>
  <si>
    <t>Promotion/ Marketing</t>
  </si>
  <si>
    <t xml:space="preserve">For posting of Enrollment </t>
  </si>
  <si>
    <t xml:space="preserve">Liquidation </t>
  </si>
  <si>
    <t>Liquidation for Career Camp</t>
  </si>
  <si>
    <t>Proctored BSIT 1B</t>
  </si>
  <si>
    <t>DONE</t>
  </si>
  <si>
    <t>Karen M. Torrefiel</t>
  </si>
  <si>
    <t>Proctored BSAIS 1</t>
  </si>
  <si>
    <t>Proctor BSTM 3 / Prof. Tour Guiding</t>
  </si>
  <si>
    <t>completed</t>
  </si>
  <si>
    <t>meeting with committees</t>
  </si>
  <si>
    <t>high</t>
  </si>
  <si>
    <t>Online class</t>
  </si>
  <si>
    <t>UCSP Online class ABM/ITMAWD</t>
  </si>
  <si>
    <t>done deposit</t>
  </si>
  <si>
    <t>Proctored BSTM 1B</t>
  </si>
  <si>
    <t>Discuss Labor Costing</t>
  </si>
  <si>
    <t xml:space="preserve">Petty Cash released to Maam Rona </t>
  </si>
  <si>
    <t>Proctor Exam Bsais 2</t>
  </si>
  <si>
    <t>Preparation of materials / Buying of materials</t>
  </si>
  <si>
    <t>ongoing</t>
  </si>
  <si>
    <t>Preparation of materials</t>
  </si>
  <si>
    <t>medium</t>
  </si>
  <si>
    <t>John Karl Leona</t>
  </si>
  <si>
    <t>Payment for Commencement Venue</t>
  </si>
  <si>
    <t>all documents dispatched to HO to process payment</t>
  </si>
  <si>
    <t>Payment for books</t>
  </si>
  <si>
    <t>Payment for journals/magazine</t>
  </si>
  <si>
    <t>Payment for Student Assistant</t>
  </si>
  <si>
    <t xml:space="preserve">RCA FOR TESDA </t>
  </si>
  <si>
    <t>it is credited to bank account to the person who file RCA</t>
  </si>
  <si>
    <t xml:space="preserve">RCA for budget request commencement exxercises </t>
  </si>
  <si>
    <t>water bill</t>
  </si>
  <si>
    <t>BUILDING RENTAL</t>
  </si>
  <si>
    <t>Computer Laboratory</t>
  </si>
  <si>
    <t>Repair the AVRs in the computer lab</t>
  </si>
  <si>
    <t>Follow up and give sponsorhip letter for business expo</t>
  </si>
  <si>
    <t>5/82026</t>
  </si>
  <si>
    <t>Visitation of the Business Expo location</t>
  </si>
  <si>
    <t>Scanning test papers</t>
  </si>
  <si>
    <t>Encoding name of the sponsors on certs</t>
  </si>
  <si>
    <t>Grading Sheet</t>
  </si>
  <si>
    <t>Input grade of the students on grading sheet (repository)</t>
  </si>
  <si>
    <t>Make up class Reporting TM1B performance task</t>
  </si>
  <si>
    <t>Preparing/writing a proposal for approval</t>
  </si>
  <si>
    <t>https://stiedu-my.sharepoint.com/personal/michaelkim_palay_puertoprincesa_sti_edu/_layouts/15/onedrive.aspx?viewid=080e1a7c%2D27d6%2D482e%2Daa99%2D0b8e8943888e&amp;id=%2Fpersonal%2Fmichaelkim%5Fpalay%5Fpuertoprincesa%5Fsti%5Fedu%2FDocuments%2FRepository%20Faculty%20Members%2FRepository%20SY2526%2FREPOSITORY%202T2526%2FMAPANAO%2C%20MARRY%20JUSSLE%2FONLINE%20CLASS%20DOCUMENTATION%2FScreenshot%202026%2D05%2D09%20090017%2Epng&amp;parent=%2Fpersonal%2Fmichaelkim%5Fpalay%5Fpuertoprincesa%5Fsti%5Fedu%2FDocuments%2FRepository%20Faculty%20Members%2FRepository%20SY2526%2FREPOSITORY%202T2526%2FMAPANAO%2C%20MARRY%20JUSSLE%2FONLINE%20CLASS%20DOCUMENTATION</t>
  </si>
  <si>
    <t>Class Monitoring and task assigning for Business Expo (BSIT 2)</t>
  </si>
  <si>
    <t xml:space="preserve">done </t>
  </si>
  <si>
    <t>Pre-final examination</t>
  </si>
  <si>
    <t>scanning test papers</t>
  </si>
  <si>
    <t>Printing certificates for Business Expo</t>
  </si>
  <si>
    <t>FTF Class</t>
  </si>
  <si>
    <t>Consultations (BSTM2A)</t>
  </si>
  <si>
    <t>Props for stage design</t>
  </si>
  <si>
    <t>Exam Checking</t>
  </si>
  <si>
    <t>Face to  Face Class</t>
  </si>
  <si>
    <t>General Chemistry  (Grade 12  STEM B) PR1 (Grade 11 STEM)</t>
  </si>
  <si>
    <t>Scanning of Test Papers</t>
  </si>
  <si>
    <t>Summative Test for Intro to bread and pastry production</t>
  </si>
  <si>
    <t>done na po</t>
  </si>
  <si>
    <t>https://stiedu-my.sharepoint.com/personal/michaelkim_palay_puertoprincesa_sti_edu/_layouts/15/onedrive.aspx?id=%2Fpersonal%2Fmichaelkim%5Fpalay%5Fpuertoprincesa%5Fsti%5Fedu%2FDocuments%2FRepository%20Faculty%20Members%2FRepository%20SY2526%2FREPOSITORY%202T2526%2FMAPANAO%2C%20MARRY%20JUSSLE%2FSPE%20CHECKER&amp;viewid=080e1a7c%2D27d6%2D482e%2Daa99%2D0b8e8943888e</t>
  </si>
  <si>
    <t>Cash Counting &amp; Deposit</t>
  </si>
  <si>
    <t>Done deposit</t>
  </si>
  <si>
    <t xml:space="preserve">Pearson VUE Equipmet </t>
  </si>
  <si>
    <t>Process documents for Pearson VUE Equipment request (Billing)</t>
  </si>
  <si>
    <t>Face to face class</t>
  </si>
  <si>
    <t>Encoding names of sponsors on certs</t>
  </si>
  <si>
    <t>Ergonomics BSHM103</t>
  </si>
  <si>
    <t>Graduation Program</t>
  </si>
  <si>
    <t xml:space="preserve">wating for any changes from AMT and SA </t>
  </si>
  <si>
    <t>ESMAS, DANILYN - OneDrive</t>
  </si>
  <si>
    <t>Checking and recording to gradesheet</t>
  </si>
  <si>
    <t>https://stiedu-my.sharepoint.com/personal/michaelkim_palay_puertoprincesa_sti_edu/_layouts/15/onedrive.aspx?id=%2Fpersonal%2Fmichaelkim%5Fpalay%5Fpuertoprincesa%5Fsti%5Fedu%2FDocuments%2FRepository%20Faculty%20Members%2FRepository%20SY2526%2FREPOSITORY%202T2526%2FNARIO%2C%20FELY%20ERIKA%2FDocumentation%2FPre%2DFinal%20ELMS&amp;viewid=080e1a7c%2D27d6%2D482e%2Daa99%2D0b8e8943888e</t>
  </si>
  <si>
    <t>Jemuel Abordo</t>
  </si>
  <si>
    <t>Promotion/Marketing</t>
  </si>
  <si>
    <t>Posting of STI recent activities</t>
  </si>
  <si>
    <t>Page Monitoring</t>
  </si>
  <si>
    <t xml:space="preserve">Jemuel Abordo </t>
  </si>
  <si>
    <t>Follow up Online app registrants</t>
  </si>
  <si>
    <t>Repository</t>
  </si>
  <si>
    <t>Recording Quizzes/Performance Exam in PE</t>
  </si>
  <si>
    <t>Recording activities</t>
  </si>
  <si>
    <t xml:space="preserve">Create letters for sponsorship/ meeting </t>
  </si>
  <si>
    <t>Oracle</t>
  </si>
  <si>
    <t>Upload Grades</t>
  </si>
  <si>
    <t>Mea Ann Diaz</t>
  </si>
  <si>
    <t>OJT Documentation</t>
  </si>
  <si>
    <t>Remind all the OJT teachers to upload the documents in our repo</t>
  </si>
  <si>
    <t>SPE reminders</t>
  </si>
  <si>
    <t>Information dissemination of Special exam and exam encoding deadlines</t>
  </si>
  <si>
    <t>Uploading Documentation</t>
  </si>
  <si>
    <t>https://stiedu-my.sharepoint.com/personal/michaelkim_palay_puertoprincesa_sti_edu/_layouts/15/onedrive.aspx?id=%2Fpersonal%2Fmichaelkim%5Fpalay%5Fpuertoprincesa%5Fsti%5Fedu%2FDocuments%2FRepository%20Staff%2FRegistrar%5FKaren%20Torrefiel%2FTERIARY%20PRACTICUM%202T2526%20REPOSITORY%2FBSTM&amp;viewid=080e1a7c%2D27d6%2D482e%2Daa99%2D0b8e8943888e&amp;LOF=1</t>
  </si>
  <si>
    <t xml:space="preserve">RFA Filing </t>
  </si>
  <si>
    <t>UPS Educational Summit Budget request</t>
  </si>
  <si>
    <t>uploading Documents to REPO</t>
  </si>
  <si>
    <t>waiting pa ng certificates ng mga students</t>
  </si>
  <si>
    <t>Giving  Activity in  ELMS</t>
  </si>
  <si>
    <t>(Grade 12 STEM 12 A) (Grade 12 STEM B)</t>
  </si>
  <si>
    <t>Grade encoding and ELMS Checking</t>
  </si>
  <si>
    <t>Recuitment</t>
  </si>
  <si>
    <t>Checking and printing online application ( resume and application letter ) for Faculty hiring</t>
  </si>
  <si>
    <t>To get OJT's evaluation</t>
  </si>
  <si>
    <t xml:space="preserve">OJT </t>
  </si>
  <si>
    <t>sending REPO link for submitted OJT Certificate</t>
  </si>
  <si>
    <t>Buying materials for Brigada Eskwela</t>
  </si>
  <si>
    <t>Monitoring wire</t>
  </si>
  <si>
    <t>Meeting for Business Expo</t>
  </si>
  <si>
    <t xml:space="preserve">FTF Class </t>
  </si>
  <si>
    <t>Reading and Writing (STEM 11, HUMSS 11, and ABM/ITMAWD 11)</t>
  </si>
  <si>
    <t>Paper Works</t>
  </si>
  <si>
    <t>Check and record the paper works of students</t>
  </si>
  <si>
    <t>Uploading Promotional Video</t>
  </si>
  <si>
    <t>VIsit (Intern)</t>
  </si>
  <si>
    <t>Monitoring Checking Hours</t>
  </si>
  <si>
    <t xml:space="preserve">Face to Face </t>
  </si>
  <si>
    <t>ABM 11 Discusing (Marketing Plan)</t>
  </si>
  <si>
    <t>Collecting photos of the graduating students for their video presentation.</t>
  </si>
  <si>
    <t>Class and return the quizzess (STEM 12B)</t>
  </si>
  <si>
    <t>Grade encoding</t>
  </si>
  <si>
    <t>John Karl L.Leona</t>
  </si>
  <si>
    <t>Checking of activities and recording of scores</t>
  </si>
  <si>
    <t>Computing of grades</t>
  </si>
  <si>
    <t>Cutting Cert. for students</t>
  </si>
  <si>
    <t>Purchased materials for Brigada Eskwela</t>
  </si>
  <si>
    <t>Face-to-Face Class</t>
  </si>
  <si>
    <t>Progress checking for Capstone Project</t>
  </si>
  <si>
    <t>STEM 11 - UCSP Discussion</t>
  </si>
  <si>
    <t>Mediun</t>
  </si>
  <si>
    <t>BSHM3 &amp; BSIT2</t>
  </si>
  <si>
    <t>Get 1 sample printed tshirt and Business Expo Meeting with students</t>
  </si>
  <si>
    <t>Account Charging</t>
  </si>
  <si>
    <t>Checking of account charging in pettycash</t>
  </si>
  <si>
    <t>Checking liquidation</t>
  </si>
  <si>
    <t>F2F</t>
  </si>
  <si>
    <t>Internet &amp; E-TRAVEL Commence</t>
  </si>
  <si>
    <t>Stem12-B, ABM 11 &amp; 12.</t>
  </si>
  <si>
    <t>Gradebook</t>
  </si>
  <si>
    <t>Encoding grades</t>
  </si>
  <si>
    <t>Mark  Nel  Avelino</t>
  </si>
  <si>
    <t>Earth  and  Life Science(ABM/ITMAWD Grade 11) General Biology(STEM 11) Earth  and  Life  Science (HUMSS) General Physics (STEM  12  A)</t>
  </si>
  <si>
    <t>OSE</t>
  </si>
  <si>
    <t>To conduct Open scholarship Exam</t>
  </si>
  <si>
    <t>Marketing/ Promotions</t>
  </si>
  <si>
    <t>Posting to fb page for 5/12/2026</t>
  </si>
  <si>
    <t>512/2026</t>
  </si>
  <si>
    <t>Discussion-STEM 11</t>
  </si>
  <si>
    <t>Lesson</t>
  </si>
  <si>
    <t>PPT for my discussion in Finals (tertiary)</t>
  </si>
  <si>
    <t>Business Exposition 2026</t>
  </si>
  <si>
    <t>Posting of Promotional Videos</t>
  </si>
  <si>
    <t>Purposive Communication - BSTM 1A</t>
  </si>
  <si>
    <t>Buying of additional equipment for lettering</t>
  </si>
  <si>
    <t>Grade Consultation( exam scores)</t>
  </si>
  <si>
    <t>class</t>
  </si>
  <si>
    <t>Discussion abm itmawd 11 ucsp</t>
  </si>
  <si>
    <t>Checking activities</t>
  </si>
  <si>
    <t>Meeting with MICE for the upcoming culminating on May 30, 2026</t>
  </si>
  <si>
    <t>checking test papers and encoding of grades</t>
  </si>
  <si>
    <t>Face to face</t>
  </si>
  <si>
    <t>Meeting with the Students for their finals on Gastronomy</t>
  </si>
  <si>
    <t>encoding Grades</t>
  </si>
  <si>
    <t>List of Graduates</t>
  </si>
  <si>
    <t>Email for Jazmin</t>
  </si>
  <si>
    <t>Inform and email her about intermediate Accounting 2</t>
  </si>
  <si>
    <t xml:space="preserve">Grade Encoding Monitoring </t>
  </si>
  <si>
    <t>Monitor teachers' grade encoding Status</t>
  </si>
  <si>
    <t>Grade Encoding</t>
  </si>
  <si>
    <t>Encode the Students' Grade on oracle</t>
  </si>
  <si>
    <t>Preparing Rubrics</t>
  </si>
  <si>
    <t>Discussion about Performance Task</t>
  </si>
  <si>
    <t>Reminding about Marketing Plan</t>
  </si>
  <si>
    <t>Ronalyn l. saldavia</t>
  </si>
  <si>
    <t>deposit</t>
  </si>
  <si>
    <t xml:space="preserve">cash counting &amp; deposit </t>
  </si>
  <si>
    <t>Cash collection</t>
  </si>
  <si>
    <t xml:space="preserve">Preparation for Business Expo </t>
  </si>
  <si>
    <t>Preparation for Business Expo</t>
  </si>
  <si>
    <t xml:space="preserve">Cortez, Jemaica </t>
  </si>
  <si>
    <t>Jimer M. Quipquip</t>
  </si>
  <si>
    <t>one online class</t>
  </si>
  <si>
    <t>Follow UP sponsorship for business expo</t>
  </si>
  <si>
    <t>Posting Grades</t>
  </si>
  <si>
    <t>Continue checking and validate liquidations</t>
  </si>
  <si>
    <t>Validation of timekeeping</t>
  </si>
  <si>
    <t>Discussion (BSTM 1,ABM/ITMAWD 11, and HUMSS 11</t>
  </si>
  <si>
    <t>Posting grades</t>
  </si>
  <si>
    <t>Mark Jemuel L. Lucernas</t>
  </si>
  <si>
    <t>ADMIN</t>
  </si>
  <si>
    <t>PAYMENT FOR ICT EQUIPMENT FOR PEARSON VUE</t>
  </si>
  <si>
    <t>Preparation housekeeping materials for Brigada Eskwela</t>
  </si>
  <si>
    <t>Preparation of Internal Requisition for proware</t>
  </si>
  <si>
    <t xml:space="preserve">Ongoing </t>
  </si>
  <si>
    <t>To conduct open scholarship exam</t>
  </si>
  <si>
    <t>To post marketing videos</t>
  </si>
  <si>
    <t>Practice Graduation songs</t>
  </si>
  <si>
    <t>Karen M.  Torrefiel</t>
  </si>
  <si>
    <t>Performance Activities in PE 2 (STEM 11)</t>
  </si>
  <si>
    <t>Danilyn ESmas</t>
  </si>
  <si>
    <t>Creating Visitors pass</t>
  </si>
  <si>
    <t>Business Exposition 2027</t>
  </si>
  <si>
    <t>Buying Additional Materials</t>
  </si>
  <si>
    <t>KAren M. Torrefiel</t>
  </si>
  <si>
    <t>Business Exposition 2028</t>
  </si>
  <si>
    <t>FAculty</t>
  </si>
  <si>
    <t>Performance Activities in PE 2 (ABM, ITMAWD, HUMSS)</t>
  </si>
  <si>
    <t>Performance Activities and reporting in PE 4 (Toper12)</t>
  </si>
  <si>
    <t>Not started</t>
  </si>
  <si>
    <t>Grade</t>
  </si>
  <si>
    <t>Oracle encoding</t>
  </si>
  <si>
    <t>Exam Encoding</t>
  </si>
  <si>
    <t>Monitor the grade encoding Status</t>
  </si>
  <si>
    <t>Faculty Meeting</t>
  </si>
  <si>
    <t>Facilitate the meeting</t>
  </si>
  <si>
    <t>OB</t>
  </si>
  <si>
    <t>Review and approve OBs</t>
  </si>
  <si>
    <t>Faculty Loading</t>
  </si>
  <si>
    <t>Remove the SHS on monitoring</t>
  </si>
  <si>
    <t>Give activity Humss Data gathering continuation</t>
  </si>
  <si>
    <t>JemaicaCortez</t>
  </si>
  <si>
    <t>Posting Grade</t>
  </si>
  <si>
    <t>Cuart/Topper/BSHM-3</t>
  </si>
  <si>
    <t>Follow UP, Collect and send letters for sponsorship/pick up Plaque for panel</t>
  </si>
  <si>
    <t>International Cuisine Kitchen Laboratory</t>
  </si>
  <si>
    <t>Preparation of housekeeping materials for Brigada Eskwela</t>
  </si>
  <si>
    <t>Library</t>
  </si>
  <si>
    <t>Setup the sound system for graduation song practice.</t>
  </si>
  <si>
    <t>STI Open Scholarship</t>
  </si>
  <si>
    <t>Upload the result of STI Open Scholarship exam.</t>
  </si>
  <si>
    <t xml:space="preserve">Admin </t>
  </si>
  <si>
    <t>Payment Reinbursement for Drinking water and Meals for BFP personnel</t>
  </si>
  <si>
    <t>Community Dance Practice</t>
  </si>
  <si>
    <t>Buying additional materials for the expo</t>
  </si>
  <si>
    <t>Purposive Communication (BSTM 1A and 1B)</t>
  </si>
  <si>
    <t>Purposive Communication (BSTM 1A and 1B, BSHM 1), Great Books (BSIT 3)</t>
  </si>
  <si>
    <t>Consultation</t>
  </si>
  <si>
    <t>Preparation for business expo</t>
  </si>
  <si>
    <t>Meduim</t>
  </si>
  <si>
    <t>Graduation Rehearshal</t>
  </si>
  <si>
    <t>Mark Nel Avelino</t>
  </si>
  <si>
    <t>General Biology (STEM 11) Earth and life Science (HUMSS 11) General Physics (STEM 12 A)</t>
  </si>
  <si>
    <t>Posting of SHS activities</t>
  </si>
  <si>
    <t>OSE RESULTS</t>
  </si>
  <si>
    <t>Checking and validating result of Open scholarship exam results</t>
  </si>
  <si>
    <t>Consultation Micro perspective of Tourism and Hospitality TM1 and B, kitchen Essential HM1</t>
  </si>
  <si>
    <t xml:space="preserve">Preparing Certificate </t>
  </si>
  <si>
    <t>Intern</t>
  </si>
  <si>
    <t>Preparing Certicate</t>
  </si>
  <si>
    <t>Masterlist of partner</t>
  </si>
  <si>
    <t>Job+ Registration</t>
  </si>
  <si>
    <t>Processing of RFP for Students Pictorial</t>
  </si>
  <si>
    <t>Processing of RFP for flowers for graduation</t>
  </si>
  <si>
    <t>Processing of Report for year 2020</t>
  </si>
  <si>
    <t>Shs</t>
  </si>
  <si>
    <t>Dessiminate group reporting to Humss</t>
  </si>
  <si>
    <t>create letters</t>
  </si>
  <si>
    <t>Resesarch</t>
  </si>
  <si>
    <t>Checking research humss</t>
  </si>
  <si>
    <t>Completing Wadhani tool requirements (Technopreneurship)</t>
  </si>
  <si>
    <t>to create the schedule for Special exam in Pre-finals</t>
  </si>
  <si>
    <t>Follow up sponsorship</t>
  </si>
  <si>
    <t>F2F &amp; Online Class</t>
  </si>
  <si>
    <t>BSAIS1, ABM11, STEM12-B, &amp; ABM12</t>
  </si>
  <si>
    <t>Refill printer ink and printer head cleaning.</t>
  </si>
  <si>
    <t>Updating Background of Gradautes presentation.</t>
  </si>
  <si>
    <t>5/14/206</t>
  </si>
  <si>
    <t xml:space="preserve">Discussion </t>
  </si>
  <si>
    <t>Meeting with BSHM2</t>
  </si>
  <si>
    <t>Final Practical Examination in Fundamental in FSO</t>
  </si>
  <si>
    <t>create decoration</t>
  </si>
  <si>
    <t>Danilyn Esmas</t>
  </si>
  <si>
    <t>ftf class</t>
  </si>
  <si>
    <t>ftf class with TOPER12 and BSHM 2</t>
  </si>
  <si>
    <t>Prepartion for business expo</t>
  </si>
  <si>
    <t>Enrolling subjects and faculty to the Oracle</t>
  </si>
  <si>
    <t>Done 1st yr and 2nd yr THM</t>
  </si>
  <si>
    <t>Business Expo Documention</t>
  </si>
  <si>
    <t>Certificates, Letter and FCCE</t>
  </si>
  <si>
    <t>Certificates, FCCE</t>
  </si>
  <si>
    <t>AMT Meeting</t>
  </si>
  <si>
    <t xml:space="preserve">FCCE </t>
  </si>
  <si>
    <t>Proctor the FCCE Exam</t>
  </si>
  <si>
    <t>Oracle Scheduling</t>
  </si>
  <si>
    <t>Input all BSAIS Subjects</t>
  </si>
  <si>
    <t xml:space="preserve">Special Exam </t>
  </si>
  <si>
    <t>Submit the application form noq</t>
  </si>
  <si>
    <t>cash collection</t>
  </si>
  <si>
    <t>Prepare computer to be use for FCCE</t>
  </si>
  <si>
    <t>Receiving Report January to December 2016-2020</t>
  </si>
  <si>
    <t>PLDT</t>
  </si>
  <si>
    <t>Payment for Graduation Pictorial and Graduation photo</t>
  </si>
  <si>
    <t>Payment for ICT Equipment for Pearson VUE</t>
  </si>
  <si>
    <t>Payment fo r the trainining participation for identified program</t>
  </si>
  <si>
    <t>Dance Rehearsal in Preparation for Business Expo</t>
  </si>
  <si>
    <t>Business eexpo</t>
  </si>
  <si>
    <t>making wood themed design</t>
  </si>
  <si>
    <t>Follow up sponsorhip</t>
  </si>
  <si>
    <t>Basic Accounting</t>
  </si>
  <si>
    <t>Computer Productivity Tools (BSTM-1B)</t>
  </si>
  <si>
    <t>Discussion in BSTM 3, BSIT 1A, and BSHM 3</t>
  </si>
  <si>
    <t>Editing certs/compiling documents</t>
  </si>
  <si>
    <t>Hjgh</t>
  </si>
  <si>
    <t>Keren M. Torrifiel</t>
  </si>
  <si>
    <t>Making decoration</t>
  </si>
  <si>
    <t>Checking Integration Paper</t>
  </si>
  <si>
    <t>Receiving Report for Year 2020 onwards</t>
  </si>
  <si>
    <t>Sencillo, Romel Marc S.</t>
  </si>
  <si>
    <t>Preparing for incoming business expo</t>
  </si>
  <si>
    <t>Preparation for Business Exposition, buying materials, design, meeting</t>
  </si>
  <si>
    <t>Danilyn B. Esmas</t>
  </si>
  <si>
    <t>Jimer Quipquip</t>
  </si>
  <si>
    <t>Lee Roy P. Fabregas</t>
  </si>
  <si>
    <t>Petty Cash released to Ma'am Rona ( Reimbursement/ Abuno ni Sir Kim )</t>
  </si>
  <si>
    <t>Petty Cash released to Ma'am MJ</t>
  </si>
  <si>
    <t>Checking Thesis</t>
  </si>
  <si>
    <t>Checking Papers of Student (labor costing)</t>
  </si>
  <si>
    <t>Petty Cash released to Sir Kim ( Reimbursement )</t>
  </si>
  <si>
    <t>Online meeting - Technopreneurship</t>
  </si>
  <si>
    <t>Preparation at Mendoza Park</t>
  </si>
  <si>
    <t>Not Started</t>
  </si>
  <si>
    <t>Entrepreneurship and Operation Mgt and TQM</t>
  </si>
  <si>
    <t>Filipino Language and Communication</t>
  </si>
  <si>
    <t>Printing/editing of certificates</t>
  </si>
  <si>
    <t xml:space="preserve">Printing/editing certificates/preperation for business expo at Mendoza </t>
  </si>
  <si>
    <t xml:space="preserve">Career adviser </t>
  </si>
  <si>
    <t>Posting of promotional video</t>
  </si>
  <si>
    <t>Career adviser</t>
  </si>
  <si>
    <t>Editing for posting</t>
  </si>
  <si>
    <t>Special Exam</t>
  </si>
  <si>
    <t xml:space="preserve">Check and approve all the OB </t>
  </si>
  <si>
    <t>Layout and making of graduation acrylic Medal for Special Awards</t>
  </si>
  <si>
    <t>Design, Follow Up sponsorship, Ingress</t>
  </si>
  <si>
    <t>SHE</t>
  </si>
  <si>
    <t>Petty cash received and cash count ( complete)</t>
  </si>
  <si>
    <t>Distributing materials for Brigada Eskwela</t>
  </si>
  <si>
    <t xml:space="preserve">Petty Cash released to Supplier ( drinking water ) </t>
  </si>
  <si>
    <t xml:space="preserve">Printing/editing certificates/business expo at Mendoza </t>
  </si>
  <si>
    <t>Assist to Overall Coordinator</t>
  </si>
  <si>
    <t>Health Committee</t>
  </si>
  <si>
    <t>5-/21/2026</t>
  </si>
  <si>
    <t>Assist to Overall Coordinator/ Ingress</t>
  </si>
  <si>
    <t>Documentation Committee</t>
  </si>
  <si>
    <t>encode list of special awardees ( REPO )</t>
  </si>
  <si>
    <t>Compiling the awards in repo</t>
  </si>
  <si>
    <t>BSHM 2-Discussion</t>
  </si>
  <si>
    <t>BSHM2/BSTM2B/BSAIS2</t>
  </si>
  <si>
    <t xml:space="preserve">Tagging and Accession new books from EEms Supplier </t>
  </si>
  <si>
    <t>Receiving Report for year 2020</t>
  </si>
  <si>
    <t>Clearance</t>
  </si>
  <si>
    <t xml:space="preserve">Printing of Tertiary Clerance </t>
  </si>
  <si>
    <t>Petty Cash released to Maam Rona</t>
  </si>
  <si>
    <t>Academic Clearance Printing</t>
  </si>
  <si>
    <t>Meet GE FMs</t>
  </si>
  <si>
    <t>Scheduling</t>
  </si>
  <si>
    <t>Employees portal</t>
  </si>
  <si>
    <t xml:space="preserve">Review and approve the students </t>
  </si>
  <si>
    <t>DIana M. Estañero</t>
  </si>
  <si>
    <t>Return Tong Balloons Stand, Table Cloth, Give certificate of sponsorhip</t>
  </si>
  <si>
    <t>Research Adviser</t>
  </si>
  <si>
    <t>Counselling and Checking Research Paper of BSAIS 4, Group 1</t>
  </si>
  <si>
    <t>Research Defense of Tourism 2nd yr students</t>
  </si>
  <si>
    <t>Online Discussion-BSHM 3</t>
  </si>
  <si>
    <t>Integrative Programming(BSIT2) &amp; Computer Productivity Tools(TOPPER 12)</t>
  </si>
  <si>
    <t>FTF</t>
  </si>
  <si>
    <t>Discussion final module Strategic Cost Management</t>
  </si>
  <si>
    <t>F To F</t>
  </si>
  <si>
    <t>Discussion and Class Reporting UCSP</t>
  </si>
  <si>
    <t>Research</t>
  </si>
  <si>
    <t>Checking Research Paper</t>
  </si>
  <si>
    <t>Online Discussion with BSTM 2B</t>
  </si>
  <si>
    <t>Discussion and Class Reporting PHYSICS (STEM 12 B) Checking of research progress (STEM  11)</t>
  </si>
  <si>
    <t>Posting for FB page</t>
  </si>
  <si>
    <t>NSTP Meeting</t>
  </si>
  <si>
    <t>Facilitate students on their meeting</t>
  </si>
  <si>
    <t>ABM/ITMAWD, HUMSS 11 Discussion</t>
  </si>
  <si>
    <t>Discussion and Meeting (CUART12)</t>
  </si>
  <si>
    <t>meduim</t>
  </si>
  <si>
    <t>TM1 A&amp;B (finals) @ LIBRARY</t>
  </si>
  <si>
    <t>Checking of Business Plan papers for Entrepreneurship in TH defense</t>
  </si>
  <si>
    <t>Finalizing the Finals Exam Schedule of Tertiary</t>
  </si>
  <si>
    <t>Canvass Materials</t>
  </si>
  <si>
    <t>Canvass materials for the ceiling renovation of classroom 301</t>
  </si>
  <si>
    <t>HO MIS Task</t>
  </si>
  <si>
    <t>Computer Laboratory requirements per Program and Course</t>
  </si>
  <si>
    <t>Project Management</t>
  </si>
  <si>
    <t>Intern (OJT)</t>
  </si>
  <si>
    <t>Preparing For Certificate for OJT</t>
  </si>
  <si>
    <t>Verify Loyalty awardees and special awards</t>
  </si>
  <si>
    <t>Accounting</t>
  </si>
  <si>
    <t>Check AVR and Power cord of computer.</t>
  </si>
  <si>
    <t>Checking SPE</t>
  </si>
  <si>
    <t>SCAN SPE</t>
  </si>
  <si>
    <t>Update Data for Students Request form</t>
  </si>
  <si>
    <t>Preparing for incoming seminar</t>
  </si>
  <si>
    <t>Post Con Meeting</t>
  </si>
  <si>
    <t xml:space="preserve">SPE </t>
  </si>
  <si>
    <t>Scanning of SPE</t>
  </si>
  <si>
    <t>Updating WIRE everyday</t>
  </si>
  <si>
    <t>STEM 11 Discussion</t>
  </si>
  <si>
    <t>online class</t>
  </si>
  <si>
    <t>class with BSTM 2A</t>
  </si>
  <si>
    <t>Schedule proposal approved and posted</t>
  </si>
  <si>
    <t>Setup the Computers at the Library.</t>
  </si>
  <si>
    <t>Marketing Plan Defense</t>
  </si>
  <si>
    <t>Conducting Marketing plan defense</t>
  </si>
  <si>
    <t>Assign Call number and Author number for each book/title</t>
  </si>
  <si>
    <t>Final Defense</t>
  </si>
  <si>
    <t>Technopreneurship Panelist</t>
  </si>
  <si>
    <t>SPE</t>
  </si>
  <si>
    <t>Posting Changing Grade to Oracle</t>
  </si>
  <si>
    <t>scanning  and Posting Changing Grade to Oracle</t>
  </si>
  <si>
    <t>Online Meeting</t>
  </si>
  <si>
    <t xml:space="preserve">Post-Con about Catered pack snacks </t>
  </si>
  <si>
    <t>https://stiedu-my.sharepoint.com/personal/michaelkim_palay_puertoprincesa_sti_edu/_layouts/15/onedrive.aspx?id=%2Fpersonal%2Fmichaelkim%5Fpalay%5Fpuertoprincesa%5Fsti%5Fedu%2FDocuments%2FRepository%20Faculty%20Members%2FRepository%20SY2526%2FREPOSITORY%202T2526%2FMAPANAO%2C%20MARRY%20JUSSLE%2FONLINE%20CLASS%20DOCUMENTATION&amp;viewid=080e1a7c%2D27d6%2D482e%2Daa99%2D0b8e8943888e</t>
  </si>
  <si>
    <t>Checking the integration paper</t>
  </si>
  <si>
    <t>Activity</t>
  </si>
  <si>
    <t>preparing letters for the upcoming activity of CUART students</t>
  </si>
  <si>
    <t>General  Biology (STEM 11) Earth and  Life Science (HUMSS 11) General Physics and General Chemistry (STEM 12 A)</t>
  </si>
  <si>
    <t>Posting/ Marketing</t>
  </si>
  <si>
    <t>editing and posting maketing posters</t>
  </si>
  <si>
    <t>Call and follow up online applicants</t>
  </si>
  <si>
    <t>Checking integration Paper</t>
  </si>
  <si>
    <t>Catering</t>
  </si>
  <si>
    <t>Monitoring/preparing for CUART Catering</t>
  </si>
  <si>
    <t>eLMS</t>
  </si>
  <si>
    <t>checking</t>
  </si>
  <si>
    <t>OJT BSAIS</t>
  </si>
  <si>
    <t>Printing Certificate for OJT</t>
  </si>
  <si>
    <t>Defense BSAIS</t>
  </si>
  <si>
    <t>Thesis Final Defense</t>
  </si>
  <si>
    <t>NSTP Adviser</t>
  </si>
  <si>
    <t>Facilitate students' meeting</t>
  </si>
  <si>
    <t>Covering new books</t>
  </si>
  <si>
    <t>f to F</t>
  </si>
  <si>
    <t>Homeroom Humss</t>
  </si>
  <si>
    <t>Make up class STEM 11 UCSP Discussion/ Reporting</t>
  </si>
  <si>
    <t>Assist Final Defense of BSAIS4</t>
  </si>
  <si>
    <t>Earth and Life science (ABM&amp;ITMAWD 11) Pannel Defense (</t>
  </si>
  <si>
    <t>Panel</t>
  </si>
  <si>
    <t>Quality Assurance Defense BSAIS 1</t>
  </si>
  <si>
    <t>Face to Face class</t>
  </si>
  <si>
    <t>UCSP ABM/ITMAWD</t>
  </si>
  <si>
    <t>Online class with BSIT 1A</t>
  </si>
  <si>
    <t>Dispatch</t>
  </si>
  <si>
    <t>Document of H/O(original Deposit slip)</t>
  </si>
  <si>
    <t>BSTM 3-Strategic Management Defense Panelist</t>
  </si>
  <si>
    <t>Online summative examination</t>
  </si>
  <si>
    <t>Conduct online summative exam through wayground</t>
  </si>
  <si>
    <t>Grading sheet encoding</t>
  </si>
  <si>
    <t>Encode grades (activities)/attendance</t>
  </si>
  <si>
    <t>Preparation for NSTP Outreach Program</t>
  </si>
  <si>
    <t>Receiving NSTP students' parent consent/guide NSTP Officers</t>
  </si>
  <si>
    <t>5/292026</t>
  </si>
  <si>
    <t>Facilitate Final Defense of BSAIS1, BSAIS3 AND BSHM3</t>
  </si>
  <si>
    <t>Culminating Activity</t>
  </si>
  <si>
    <t>Culminating presentation of bstm 1a and 1b</t>
  </si>
  <si>
    <t>checking of activities</t>
  </si>
  <si>
    <t>Make up class UCSP ABM/ITMAWD</t>
  </si>
  <si>
    <t>encode update list of special awardees ( REPO )</t>
  </si>
  <si>
    <t>Finalizing the gradesheets</t>
  </si>
  <si>
    <t>checking activities</t>
  </si>
  <si>
    <t>Final Exam</t>
  </si>
  <si>
    <t>Sorting SHS &amp; Tertiary  Exam</t>
  </si>
  <si>
    <t xml:space="preserve">NSTP Outreach Program </t>
  </si>
  <si>
    <t xml:space="preserve">Supervised NSTP students on their event </t>
  </si>
  <si>
    <t>Business Proposal Plan</t>
  </si>
  <si>
    <t>Checking Business Proposal Plan of Entrep Students</t>
  </si>
  <si>
    <t>finals</t>
  </si>
  <si>
    <t xml:space="preserve">proctorship in STEM 11 </t>
  </si>
  <si>
    <t>Medum</t>
  </si>
  <si>
    <t>Grading sheet/eLMS</t>
  </si>
  <si>
    <t>Checking of students activity</t>
  </si>
  <si>
    <t>Proctorship  in BSHM2 and BSAIS1</t>
  </si>
  <si>
    <t>Finals</t>
  </si>
  <si>
    <t>Proctorship BSTM2</t>
  </si>
  <si>
    <t>BSTM4 grade</t>
  </si>
  <si>
    <t>Checking</t>
  </si>
  <si>
    <t>Final Examination</t>
  </si>
  <si>
    <t>Proctorship ABM/ITMAWD</t>
  </si>
  <si>
    <t>Proctorship Stem 11</t>
  </si>
  <si>
    <t>Proctorship ABM/ITMAWD 12</t>
  </si>
  <si>
    <t>Proctorship HUMSS 11</t>
  </si>
  <si>
    <t>Proctorship  BSAIS 1 Ethics and CFAS</t>
  </si>
  <si>
    <t>BSAIS 4</t>
  </si>
  <si>
    <t>Printing Certificates</t>
  </si>
  <si>
    <t>Distribute cleaning materials donation for Brigada Eskwela</t>
  </si>
  <si>
    <t>Proctorship BSTM3</t>
  </si>
  <si>
    <t>Computer Maintenance</t>
  </si>
  <si>
    <t>Installing new Operating System, Conduct computer maintenance in preparation form SY 2026-2027</t>
  </si>
  <si>
    <t>Proctorship (ITMAWD 11 - COMPUTER/WEB PROGRAMMING 3)</t>
  </si>
  <si>
    <t>IT Department</t>
  </si>
  <si>
    <t>Proctorship (BSTM 2B - Science, Technology, and Society)</t>
  </si>
  <si>
    <t>Proctorship (ABM 11 - PRINCIPLES OF MARKETING)</t>
  </si>
  <si>
    <t>Proctorship ABM/ITMAWD 11, Proctorship ABM/ITMAWD 12 and Checking elms  Activities</t>
  </si>
  <si>
    <t>Proctorship  BSIT 1B MMW</t>
  </si>
  <si>
    <t>Proctorship STEM 12B</t>
  </si>
  <si>
    <t>Inventory</t>
  </si>
  <si>
    <t>Entry of new purchased UPS on TAM System for inventory</t>
  </si>
  <si>
    <t>Assist students for the NCF ( day 1 )</t>
  </si>
  <si>
    <t>Proctorship  BSIT 2 Network  Tech.</t>
  </si>
  <si>
    <t>Proctored BSAIS 1 and 2</t>
  </si>
  <si>
    <t>Proctorahip Stem 11</t>
  </si>
  <si>
    <t>Panel Interview</t>
  </si>
  <si>
    <t>Panel interview for career feast</t>
  </si>
  <si>
    <t>Proctorship (STEM 11 - STATISTICS AND PROBABILITY)</t>
  </si>
  <si>
    <t>Speakership and Panel Interview</t>
  </si>
  <si>
    <t>Protorship BSIT 1A</t>
  </si>
  <si>
    <t xml:space="preserve">HIgh </t>
  </si>
  <si>
    <t>Protorship BSIT 2</t>
  </si>
  <si>
    <t>Proctorship BSTM 3</t>
  </si>
  <si>
    <t>LABORATORY EXAM BSHM2 (buffet)</t>
  </si>
  <si>
    <t>Ronalyn L. saldavia</t>
  </si>
  <si>
    <t>Cash Countin&amp; Deposit</t>
  </si>
  <si>
    <t>Posting of promotional poster</t>
  </si>
  <si>
    <t>Follow up and call students and inquirers</t>
  </si>
  <si>
    <t>Proctorship BSAIS 3 (Strategic Cost Management)</t>
  </si>
  <si>
    <t>Proctorship BSAIS 3 (Information Systems Operation and maintenace)</t>
  </si>
  <si>
    <t>FINAL EXAMINATION</t>
  </si>
  <si>
    <t>Proctorship with BSAIS 1 (Financial Accounting)</t>
  </si>
  <si>
    <t>Proctorship HUMSS 11, Proctorship ABM 12 and Checking elms  Activities</t>
  </si>
  <si>
    <t>Proctorship Humss 11</t>
  </si>
  <si>
    <t>Proctorship (ABM/ITMAWD 11 - KOMUNIKASYON AT PANANALIKSIK SA WIKA AT KULTURANG PILIPINO)</t>
  </si>
  <si>
    <t>Proctorship (ABM/ITMAWD 11 - EARTH AND LIFE SCIENCE)</t>
  </si>
  <si>
    <t>Proctorship (CUART 12 - CATERING MANAGEMENT AND CONTROL SYSTEM)</t>
  </si>
  <si>
    <t>Proctorship (CUART 12 - INTRODUCTION TO BREAD AND PASTRY PRODUCTION)</t>
  </si>
  <si>
    <t>Proctorship BSIT 3 Web  System &amp; Tech.</t>
  </si>
  <si>
    <t>Academic</t>
  </si>
  <si>
    <t>Completion of grading in Technopreneurship</t>
  </si>
  <si>
    <t>6/5/1016</t>
  </si>
  <si>
    <t>Checking of laboratories and activities of Topper 12</t>
  </si>
  <si>
    <t>Assist students and partner companies for the NCF ( day 2)</t>
  </si>
  <si>
    <t>Proctored BSIT 1 and 2</t>
  </si>
  <si>
    <t>Proctorship BSIT 3</t>
  </si>
  <si>
    <t>Proctorship (ABM/ITMAWD 11 - UNDERSTANDING CULTURE, SOCIETY, AND POLITICS)</t>
  </si>
  <si>
    <t>Proctorship (TOPER 12 - INTERNET AND E-TRAVEL COMMERCE)</t>
  </si>
  <si>
    <t>Proctorship (TOPER 12 - Tourism Info)</t>
  </si>
  <si>
    <t>Proctorship (BSAIS 1-LAW)</t>
  </si>
  <si>
    <t xml:space="preserve">Grade </t>
  </si>
  <si>
    <t>Repository grade encoding</t>
  </si>
  <si>
    <t>For Closing OJT</t>
  </si>
  <si>
    <t>Proctorship BSIT 1B</t>
  </si>
  <si>
    <t>Proctorship ITMAWD 12</t>
  </si>
  <si>
    <t>Recognition</t>
  </si>
  <si>
    <t>Delivered Request letter to NCCC</t>
  </si>
  <si>
    <t>Business Plan Defense</t>
  </si>
  <si>
    <t>The panelists are Maam Mapanao, Maam Estanero and Sir Garados</t>
  </si>
  <si>
    <t xml:space="preserve">cash counting &amp; cash collection to Sir Kim ( vault) </t>
  </si>
  <si>
    <t>FInal Examination</t>
  </si>
  <si>
    <t>Panelist Of Business Plan</t>
  </si>
  <si>
    <t>Upload Grades (oracle)</t>
  </si>
  <si>
    <t>Proctorship G12 ITMAWD</t>
  </si>
  <si>
    <t>SPE Scanning</t>
  </si>
  <si>
    <t>Checking of exam papers</t>
  </si>
  <si>
    <t>Checking of laboratories and activities of BSTM &amp; BSIT</t>
  </si>
  <si>
    <t>6/5/202</t>
  </si>
  <si>
    <t>Darlyn papica</t>
  </si>
  <si>
    <t>Proctorship BSIT 101B ETHICS</t>
  </si>
  <si>
    <t>6/5/203</t>
  </si>
  <si>
    <t>Proctorship BSIT 101B STS</t>
  </si>
  <si>
    <t>6/5/204</t>
  </si>
  <si>
    <t>Proctorship G12 STEM 12B ENTREPRENEURSHIP</t>
  </si>
  <si>
    <t>Proctorship BSIT 103 MIS</t>
  </si>
  <si>
    <t>6/5/205</t>
  </si>
  <si>
    <t>Proctorship BSIT 103 INFO ASSURANCE</t>
  </si>
  <si>
    <t>6/5/206</t>
  </si>
  <si>
    <t>Graduation of OJT at AFP</t>
  </si>
  <si>
    <t>Give certificate to the HTE</t>
  </si>
  <si>
    <t>6/5/207</t>
  </si>
  <si>
    <t>Graduation of OJT at STI</t>
  </si>
  <si>
    <t>6/5/208</t>
  </si>
  <si>
    <t>Graduation of OJT at OWWA</t>
  </si>
  <si>
    <t>6/5/209</t>
  </si>
  <si>
    <t>Graduation of OJT at SSS</t>
  </si>
  <si>
    <t>6/5/210</t>
  </si>
  <si>
    <t>Graduation of OJT at DICT</t>
  </si>
  <si>
    <t>Will give a certificate to the HTE</t>
  </si>
  <si>
    <t>Panelist for BSHM3 and BSTM3 Entreprenuership Subject</t>
  </si>
  <si>
    <t>Loading of Faculty SPE Exam Checker</t>
  </si>
  <si>
    <t>Completing grades encode</t>
  </si>
  <si>
    <t>Checking of students test papers</t>
  </si>
  <si>
    <t>Grading sheet</t>
  </si>
  <si>
    <t>Input grades on grading sheets</t>
  </si>
  <si>
    <t>Checking of activities and assignments</t>
  </si>
  <si>
    <t>Input grades on grading sheets (REPOSITORY)</t>
  </si>
  <si>
    <t>student complying for missing the performace task (LAB kitchen)</t>
  </si>
  <si>
    <t>Checking students activities in ELMS</t>
  </si>
  <si>
    <t>Posting grades of all tertiary students on oracle</t>
  </si>
  <si>
    <t>ELMS activities</t>
  </si>
  <si>
    <t xml:space="preserve">Checking students assignments of the students </t>
  </si>
  <si>
    <t>eLMS/Local Gradesheet</t>
  </si>
  <si>
    <t>Checking of laboratories and activities of BSIT2 &amp; BSTM-1B/Input of grades in local gradesheet.</t>
  </si>
  <si>
    <t>Scanning of  Exams</t>
  </si>
  <si>
    <t>Checking of Exams</t>
  </si>
  <si>
    <t>Cleaning of all computer at Computer Laboratory 2</t>
  </si>
  <si>
    <t>Storage Room Cleaning</t>
  </si>
  <si>
    <t>Cleaning and re-arrange of storage room (filing of system units and other computer and electronics equipment, and Documents</t>
  </si>
  <si>
    <t>Posting grades of all tertiary and Senior students</t>
  </si>
  <si>
    <t>oracle</t>
  </si>
  <si>
    <t>Request for payment (Gooddy)</t>
  </si>
  <si>
    <t>Admission Officer</t>
  </si>
  <si>
    <t xml:space="preserve">Nathalie Shane Abia </t>
  </si>
  <si>
    <t>Double checking the activities of BSIT2. BSTM1B, &amp; TOPPER 12</t>
  </si>
  <si>
    <t>PO Report January to May 2026</t>
  </si>
  <si>
    <t>faculty</t>
  </si>
  <si>
    <t>portfolio</t>
  </si>
  <si>
    <t xml:space="preserve">inputting the credentials </t>
  </si>
  <si>
    <t xml:space="preserve">Jimer Quipquip </t>
  </si>
  <si>
    <t>BUILDING RENTAL FTM JUNE</t>
  </si>
  <si>
    <t>BUILDING EXPANSION RENTAL FTM JUNE</t>
  </si>
  <si>
    <t>materials for 4th quarter recognition</t>
  </si>
  <si>
    <t>payment</t>
  </si>
  <si>
    <t>paleco bill ftm May 2026</t>
  </si>
  <si>
    <t>documents</t>
  </si>
  <si>
    <t>sorting of documents from HO</t>
  </si>
  <si>
    <t>liquidation</t>
  </si>
  <si>
    <t>updating liquidation monitor</t>
  </si>
  <si>
    <t>Posting grades of SHS</t>
  </si>
  <si>
    <t>SPE Checker</t>
  </si>
  <si>
    <t>Scanning 4th Qtr Exam of SHS</t>
  </si>
  <si>
    <t>Diana M Estañero</t>
  </si>
  <si>
    <t>Final Paper</t>
  </si>
  <si>
    <t>Checking SHS/Tertiary paper for soft bound and hard bound printing</t>
  </si>
  <si>
    <t>Checking/ Scanning</t>
  </si>
  <si>
    <t>grading input in oracle</t>
  </si>
  <si>
    <t xml:space="preserve">Homeroom Narrative Report </t>
  </si>
  <si>
    <t>Recognition Preparation</t>
  </si>
  <si>
    <t>Signing of MOA at NCCC</t>
  </si>
  <si>
    <t>MEDIUM</t>
  </si>
  <si>
    <t>Encode grades</t>
  </si>
  <si>
    <t>Encoding Grades of SHS</t>
  </si>
  <si>
    <t xml:space="preserve">application follow up </t>
  </si>
  <si>
    <t>Portfolio</t>
  </si>
  <si>
    <t>Editing on Canva</t>
  </si>
  <si>
    <t>encoding</t>
  </si>
  <si>
    <t>Summary Of Grades</t>
  </si>
  <si>
    <t>Printing</t>
  </si>
  <si>
    <t xml:space="preserve">Encoding the final grades/ Local Gradesheet to Repository. </t>
  </si>
  <si>
    <t>Edit Conferment scripyt of S.A.</t>
  </si>
  <si>
    <t>Petty CAsh released to Sir Julz</t>
  </si>
  <si>
    <t>Petty cash realesed to Si Joaqs</t>
  </si>
  <si>
    <t>Construct narrative report</t>
  </si>
  <si>
    <t>Homeroom narrative report</t>
  </si>
  <si>
    <t>Input grades on oracle</t>
  </si>
  <si>
    <t>Print summary of grades</t>
  </si>
  <si>
    <t>Summary of grades</t>
  </si>
  <si>
    <t>Academic Portfolio, Narrative Report for Hoomeroom and Club</t>
  </si>
  <si>
    <t>elms feedback</t>
  </si>
  <si>
    <t>Narrative  Report</t>
  </si>
  <si>
    <t>Homeroom  Adviser</t>
  </si>
  <si>
    <t>SHS  Adviser  Repository</t>
  </si>
  <si>
    <t>Homeroom  Grades</t>
  </si>
  <si>
    <t>Print and  Repository</t>
  </si>
  <si>
    <t>Summmary of Grades</t>
  </si>
  <si>
    <t xml:space="preserve">Admin                              </t>
  </si>
  <si>
    <t>Marketing/promotion</t>
  </si>
  <si>
    <t>Posting of promotional content</t>
  </si>
  <si>
    <t xml:space="preserve">medium </t>
  </si>
  <si>
    <t>Summary of Grades</t>
  </si>
  <si>
    <t>Printing and Compiling</t>
  </si>
  <si>
    <t>Upload report</t>
  </si>
  <si>
    <t>Honorlist</t>
  </si>
  <si>
    <t>SCHEDULING</t>
  </si>
  <si>
    <t>TOPER</t>
  </si>
  <si>
    <t>Uploading Portfolio</t>
  </si>
  <si>
    <t>Professional Growth</t>
  </si>
  <si>
    <t>Attended Seminar</t>
  </si>
  <si>
    <t>ORACLE</t>
  </si>
  <si>
    <t>Encoding Tertiary Grades</t>
  </si>
  <si>
    <t xml:space="preserve">High </t>
  </si>
  <si>
    <t>SHS Deliverables</t>
  </si>
  <si>
    <t>Upload Narrative, Homeroom student pictures</t>
  </si>
  <si>
    <t>Clearance and Inventory</t>
  </si>
  <si>
    <t>kitchen inventory/signing</t>
  </si>
  <si>
    <t>Marketing Adhoc</t>
  </si>
  <si>
    <t>SSHS</t>
  </si>
  <si>
    <t>clearance and Marketing</t>
  </si>
  <si>
    <t>clearance and follow up for NS students</t>
  </si>
  <si>
    <t>Capstone</t>
  </si>
  <si>
    <t>Proofreading</t>
  </si>
  <si>
    <t>cash counting &amp; deposit</t>
  </si>
  <si>
    <t>dispatch</t>
  </si>
  <si>
    <t>documents at Head Office(Origal Deposit slip/lbc)</t>
  </si>
  <si>
    <t xml:space="preserve">Upload Narrative Report </t>
  </si>
  <si>
    <t>Upload Narrative Report in SHS Adviser Repository</t>
  </si>
  <si>
    <t>Upload Portfolio</t>
  </si>
  <si>
    <t>Upload Portfolio Repository</t>
  </si>
  <si>
    <t xml:space="preserve">Petty cash realesed to Maam Rona </t>
  </si>
  <si>
    <t>Submit Requirements</t>
  </si>
  <si>
    <t>Assist Enrollment</t>
  </si>
  <si>
    <t>Ready for review grades</t>
  </si>
  <si>
    <t>Petty cash realesed to SUPPLIER</t>
  </si>
  <si>
    <t>Arranging  graduation photos</t>
  </si>
  <si>
    <t>APO</t>
  </si>
  <si>
    <t>NCF Report</t>
  </si>
  <si>
    <t>Accomplishing report of NCF</t>
  </si>
  <si>
    <t>On going</t>
  </si>
  <si>
    <t>Invitation for graduation</t>
  </si>
  <si>
    <t>Sending letter of invitation for graduation</t>
  </si>
  <si>
    <t>Petty cash realesed to Sir Julius</t>
  </si>
  <si>
    <t>General Meeting</t>
  </si>
  <si>
    <t>Preparations for the upcoming School Year</t>
  </si>
  <si>
    <t xml:space="preserve">ONSET </t>
  </si>
  <si>
    <t>Career Advisers</t>
  </si>
  <si>
    <t xml:space="preserve">Enrolling NS </t>
  </si>
  <si>
    <t>ONSET</t>
  </si>
  <si>
    <t>ONSET Day 1</t>
  </si>
  <si>
    <t>Diana Estanero</t>
  </si>
  <si>
    <t>SSHS/GE</t>
  </si>
  <si>
    <t>Preparing graduation script, floor plan and other graduation related</t>
  </si>
  <si>
    <t>Mea Ann V.Diaz</t>
  </si>
  <si>
    <t>PPT setup</t>
  </si>
  <si>
    <t>For general meeting this morning</t>
  </si>
  <si>
    <t>Onset Setup</t>
  </si>
  <si>
    <t>Week Zero Day 1 ONSET</t>
  </si>
  <si>
    <t>Preparation for upcomn school year</t>
  </si>
  <si>
    <t xml:space="preserve">week zero onset </t>
  </si>
  <si>
    <t>scheduled</t>
  </si>
  <si>
    <t>scheduling</t>
  </si>
  <si>
    <t>Ad Hoc</t>
  </si>
  <si>
    <t>Application</t>
  </si>
  <si>
    <t>calling per batch</t>
  </si>
  <si>
    <t>ONSET Day 2</t>
  </si>
  <si>
    <t>Orientation and Seminar</t>
  </si>
  <si>
    <t>Onset Day 2</t>
  </si>
  <si>
    <t xml:space="preserve">SSHS                                                                                                                                                                                                                                             </t>
  </si>
  <si>
    <t>Week Zero Day 2 ONSET</t>
  </si>
  <si>
    <t>Hiring PT</t>
  </si>
  <si>
    <t>Adhoc</t>
  </si>
  <si>
    <t xml:space="preserve">Follow up enrollees </t>
  </si>
  <si>
    <t>First Day High</t>
  </si>
  <si>
    <t>Make program layout</t>
  </si>
  <si>
    <t>Scheduling and Plotting</t>
  </si>
  <si>
    <t>Plot and schedule subjects</t>
  </si>
  <si>
    <t>GEneral Practice</t>
  </si>
  <si>
    <t>6/24/226</t>
  </si>
  <si>
    <t>Practice</t>
  </si>
  <si>
    <t>Deloading subjects</t>
  </si>
  <si>
    <t>deloading subjects</t>
  </si>
  <si>
    <t xml:space="preserve">Scheduling </t>
  </si>
  <si>
    <t>Deloading subjects, evaluation of students</t>
  </si>
  <si>
    <t>Retrieving data. Wait a few seconds and try to cut or copy again.</t>
  </si>
  <si>
    <t>Tarpaulin Layout</t>
  </si>
  <si>
    <t>seminar on stress and anxiety with Ma'am Venice</t>
  </si>
  <si>
    <t>seminar on stress and anxiety with maam venice</t>
  </si>
  <si>
    <t>posting honorlist</t>
  </si>
  <si>
    <t>editing honorlist on canva</t>
  </si>
  <si>
    <t>Seminar on stress and anxiety with maam venice</t>
  </si>
  <si>
    <t>Posting honorlist</t>
  </si>
  <si>
    <t>Editing honorlist on canva</t>
  </si>
  <si>
    <t>Cash Count &amp; Deposit</t>
  </si>
  <si>
    <t>Trasmittal</t>
  </si>
  <si>
    <t>Dispatch of Documents at head office(lbc)</t>
  </si>
  <si>
    <t>complete</t>
  </si>
  <si>
    <t xml:space="preserve">RFA-THESIS </t>
  </si>
  <si>
    <t xml:space="preserve">follow up head office for RFA- APPROVED </t>
  </si>
  <si>
    <t>Evaluation</t>
  </si>
  <si>
    <t>Evaluating incoming grade 12 students</t>
  </si>
  <si>
    <t>Clearance for incoming Grade 12/Assisst incoming grade 11 students</t>
  </si>
  <si>
    <t>Meet up with Class Adviser</t>
  </si>
  <si>
    <t>Classroom Orientation</t>
  </si>
  <si>
    <t>Opening Block</t>
  </si>
  <si>
    <t>Grade 11 Orientation</t>
  </si>
  <si>
    <t>Orientation</t>
  </si>
  <si>
    <t>Enrolment</t>
  </si>
  <si>
    <t>Follow up enrolees</t>
  </si>
  <si>
    <t>Rsearch Status Report</t>
  </si>
  <si>
    <t>Make research status report (BSAIS 4)</t>
  </si>
  <si>
    <t>Tertiary Fist Day Program</t>
  </si>
  <si>
    <t>Making program</t>
  </si>
  <si>
    <t>Recruitment</t>
  </si>
  <si>
    <t xml:space="preserve">Faculty hiring </t>
  </si>
  <si>
    <t>First day high</t>
  </si>
  <si>
    <t>Opening Block Grade 11 and 12 orientation</t>
  </si>
  <si>
    <t>competed</t>
  </si>
  <si>
    <t>Total Tasks</t>
  </si>
  <si>
    <t>Completed Tasks</t>
  </si>
  <si>
    <t>Delayed Tasks</t>
  </si>
  <si>
    <t>Completion Rate</t>
  </si>
  <si>
    <t>Delayed</t>
  </si>
  <si>
    <t>Staff Name</t>
  </si>
  <si>
    <t>Completion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</si>
</sst>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rgb="FF000000"/>
      <name val="Calibri"/>
      <charset val="1"/>
    </font>
    <font>
      <sz val="11"/>
      <color rgb="FF000000"/>
      <name val="Calibri"/>
      <charset val="134"/>
      <scheme val="minor"/>
    </font>
    <font>
      <sz val="12"/>
      <color rgb="FF000000"/>
      <name val="Aptos"/>
      <charset val="1"/>
    </font>
    <font>
      <sz val="11"/>
      <color rgb="FF242424"/>
      <name val="Aptos Narrow"/>
      <charset val="1"/>
    </font>
    <font>
      <u/>
      <sz val="11"/>
      <color theme="10"/>
      <name val="Calibri"/>
      <charset val="134"/>
      <scheme val="minor"/>
    </font>
    <font>
      <sz val="10"/>
      <color theme="1"/>
      <name val="Calibri"/>
      <family val="2"/>
      <charset val="1"/>
    </font>
    <font>
      <sz val="11"/>
      <color rgb="FF000000"/>
      <name val="Calibri"/>
      <scheme val="minor"/>
    </font>
    <font>
      <b/>
      <sz val="18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0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1"/>
    <xf numFmtId="0" fontId="5" fillId="0" borderId="0" xfId="1" applyFont="1"/>
    <xf numFmtId="0" fontId="0" fillId="3" borderId="0" xfId="0" applyFill="1"/>
    <xf numFmtId="0" fontId="8" fillId="4" borderId="0" xfId="1" applyFill="1"/>
    <xf numFmtId="0" fontId="8" fillId="0" borderId="0" xfId="1" applyAlignment="1"/>
    <xf numFmtId="0" fontId="0" fillId="4" borderId="1" xfId="0" applyFill="1" applyBorder="1"/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0" fontId="5" fillId="3" borderId="0" xfId="0" applyFont="1" applyFill="1"/>
    <xf numFmtId="14" fontId="0" fillId="0" borderId="0" xfId="0" applyNumberFormat="1" applyAlignment="1">
      <alignment horizontal="left" vertical="center"/>
    </xf>
    <xf numFmtId="0" fontId="9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0" fontId="0" fillId="0" borderId="2" xfId="0" applyBorder="1"/>
    <xf numFmtId="0" fontId="1" fillId="0" borderId="3" xfId="0" applyFont="1" applyBorder="1"/>
    <xf numFmtId="0" fontId="0" fillId="0" borderId="4" xfId="0" applyBorder="1"/>
    <xf numFmtId="0" fontId="1" fillId="0" borderId="5" xfId="0" applyFont="1" applyBorder="1"/>
    <xf numFmtId="0" fontId="1" fillId="0" borderId="7" xfId="0" applyFont="1" applyBorder="1"/>
    <xf numFmtId="0" fontId="0" fillId="0" borderId="8" xfId="0" applyBorder="1"/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10" fillId="0" borderId="0" xfId="0" applyFont="1"/>
    <xf numFmtId="14" fontId="4" fillId="0" borderId="0" xfId="0" applyNumberFormat="1" applyFont="1"/>
    <xf numFmtId="0" fontId="4" fillId="3" borderId="0" xfId="0" applyFont="1" applyFill="1"/>
    <xf numFmtId="0" fontId="0" fillId="3" borderId="2" xfId="0" applyFill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center" wrapText="1"/>
    </xf>
    <xf numFmtId="0" fontId="11" fillId="2" borderId="0" xfId="0" applyFont="1" applyFill="1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Task Status Distribution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E71C-4135-B815-D3A8D657821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E71C-4135-B815-D3A8D6578217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E71C-4135-B815-D3A8D6578217}"/>
              </c:ext>
            </c:extLst>
          </c:dPt>
          <c:cat>
            <c:strRef>
              <c:f>'Monthly Summary'!$D$2:$D$4</c:f>
              <c:strCache>
                <c:ptCount val="3"/>
                <c:pt idx="0">
                  <c:v>Completed</c:v>
                </c:pt>
                <c:pt idx="1">
                  <c:v>Ongoing</c:v>
                </c:pt>
                <c:pt idx="2">
                  <c:v>Delayed</c:v>
                </c:pt>
              </c:strCache>
            </c:strRef>
          </c:cat>
          <c:val>
            <c:numRef>
              <c:f>'Monthly Summary'!$E$2:$E$4</c:f>
              <c:numCache>
                <c:formatCode>General</c:formatCode>
                <c:ptCount val="3"/>
                <c:pt idx="0">
                  <c:v>246</c:v>
                </c:pt>
                <c:pt idx="1">
                  <c:v>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1C-4135-B815-D3A8D6578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9947088-44d9-4169-b050-138fcf48a562}"/>
      </c:ext>
    </c:extLst>
  </c:chart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400000" cy="2611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alay, Michael Kim" id="{34945BA5-F9A2-47E9-95B6-3E1CD1DA81F3}" userId="S::michaelkim.palay@puertoprincesa.sti.edu::689a577c-f6f9-41d8-adf5-b40a294998c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39" dT="2026-05-02T10:29:44.00" personId="{34945BA5-F9A2-47E9-95B6-3E1CD1DA81F3}" id="{BB3ED39B-266E-491B-8479-8868AD623E4A}">
    <text>Pakiayos ang typing, Jimer. Thanks.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iedu-my.sharepoint.com/personal/michaelkim_palay_puertoprincesa_sti_edu/_layouts/15/onedrive.aspx?id=%2Fpersonal%2Fmichaelkim%5Fpalay%5Fpuertoprincesa%5Fsti%5Fedu%2FDocuments%2FRepository%20Faculty%20Members%2FRepository%20SY2526%2FREPOSITORY%202T2526%2FMAPANAO%2C%20MARRY%20JUSSLE%2FActivities%20documentation&amp;viewid=080e1a7c%2D27d6%2D482e%2Daa99%2D0b8e8943888e" TargetMode="External"/><Relationship Id="rId13" Type="http://schemas.openxmlformats.org/officeDocument/2006/relationships/hyperlink" Target="https://stiedu-my.sharepoint.com/:b:/g/personal/ellen_cruz_puertoprincesa_sti_edu/IQAiT-uxuJq2SIOR9e0MFqSkAYfZ1GrHgTuOAR_Z1fwhYT4?e=arpNLY" TargetMode="External"/><Relationship Id="rId18" Type="http://schemas.openxmlformats.org/officeDocument/2006/relationships/hyperlink" Target="https://stiedu-my.sharepoint.com/personal/michaelkim_palay_puertoprincesa_sti_edu/_layouts/15/onedrive.aspx?id=%2Fpersonal%2Fmichaelkim%5Fpalay%5Fpuertoprincesa%5Fsti%5Fedu%2FDocuments%2FRepository%20Staff%2FRegistrar%5FKaren%20Torrefiel%2FTERIARY%20PRACTICUM%202T2526%20REPOSITORY%2FBSTM&amp;viewid=080e1a7c%2D27d6%2D482e%2Daa99%2D0b8e8943888e&amp;LOF=1" TargetMode="External"/><Relationship Id="rId26" Type="http://schemas.openxmlformats.org/officeDocument/2006/relationships/hyperlink" Target="https://stiedu-my.sharepoint.com/personal/michaelkim_palay_puertoprincesa_sti_edu/_layouts/15/onedrive.aspx?viewid=080e1a7c%2D27d6%2D482e%2Daa99%2D0b8e8943888e&amp;id=%2Fpersonal%2Fmichaelkim%5Fpalay%5Fpuertoprincesa%5Fsti%5Fedu%2FDocuments%2FRepository%20Faculty%20Members%2FRepository%20SY2526%2FREPOSITORY%202T2526%2FMAPANAO%2C%20MARRY%20JUSSLE%2FONLINE%20CLASS%20DOCUMENTATION%2FHM3%20SNACKS%20FOR%20SEMINAR%2Ejpg&amp;parent=%2Fpersonal%2Fmichaelkim%5Fpalay%5Fpuertoprincesa%5Fsti%5Fedu%2FDocuments%2FRepository%20Faculty%20Members%2FRepository%20SY2526%2FREPOSITORY%202T2526%2FMAPANAO%2C%20MARRY%20JUSSLE%2FONLINE%20CLASS%20DOCUMENTATION" TargetMode="External"/><Relationship Id="rId3" Type="http://schemas.openxmlformats.org/officeDocument/2006/relationships/hyperlink" Target="https://stiedu-my.sharepoint.com/personal/michaelkim_palay_puertoprincesa_sti_edu/_layouts/15/onedrive.aspx?id=%2Fpersonal%2Fmichaelkim%5Fpalay%5Fpuertoprincesa%5Fsti%5Fedu%2FDocuments%2FRepository%20Faculty%20Members%2FRepository%20SY2526%2FREPOSITORY%202T2526%2FESTA%C3%91ERO%2C%20DIANA%2FEsta%C3%B1ero%20Accomplishment%20Supporting%20Documents%202026&amp;viewid=080e1a7c%2D27d6%2D482e%2Daa99%2D0b8e8943888e" TargetMode="External"/><Relationship Id="rId21" Type="http://schemas.openxmlformats.org/officeDocument/2006/relationships/hyperlink" Target="https://stiedu-my.sharepoint.com/personal/michaelkim_palay_puertoprincesa_sti_edu/_layouts/15/onedrive.aspx?id=%2Fpersonal%2Fmichaelkim%5Fpalay%5Fpuertoprincesa%5Fsti%5Fedu%2FDocuments%2FRepository%20Faculty%20Members%2FRepository%20SY2526%2FREPOSITORY%202T2526%2FESMAS%2C%20DANILYN&amp;viewid=080e1a7c%2D27d6%2D482e%2Daa99%2D0b8e8943888e" TargetMode="External"/><Relationship Id="rId7" Type="http://schemas.openxmlformats.org/officeDocument/2006/relationships/hyperlink" Target="https://teams.microsoft.com/l/meetup-join/19%3ameeting_ZGEzN2ZhNWEtNGE5MS00ZmFmLThkMDItMjU0ZDA3M2Q2NjUy%40thread.v2/0?context=%7b%22Tid%22%3a%220e03093b-79f8-40d3-ac5c-3f75ee50369d%22%2c%22Oid%22%3a%220ebcffb3-b923-4228-a7f6-5b7478de84e1%22%7d" TargetMode="External"/><Relationship Id="rId12" Type="http://schemas.openxmlformats.org/officeDocument/2006/relationships/hyperlink" Target="https://teams.microsoft.com/meet/46597517424436?p=FPzqL7lvuv0yAsdhJQ" TargetMode="External"/><Relationship Id="rId17" Type="http://schemas.openxmlformats.org/officeDocument/2006/relationships/hyperlink" Target="https://stiedu-my.sharepoint.com/personal/michaelkim_palay_puertoprincesa_sti_edu/_layouts/15/onedrive.aspx?id=%2Fpersonal%2Fmichaelkim%5Fpalay%5Fpuertoprincesa%5Fsti%5Fedu%2FDocuments%2FRepository%20Faculty%20Members%2FRepository%20SY2526%2FREPOSITORY%202T2526%2FMAPANAO%2C%20MARRY%20JUSSLE%2FSPE%20CHECKER&amp;viewid=080e1a7c%2D27d6%2D482e%2Daa99%2D0b8e8943888e" TargetMode="External"/><Relationship Id="rId25" Type="http://schemas.openxmlformats.org/officeDocument/2006/relationships/hyperlink" Target="https://stiedu-my.sharepoint.com/personal/michaelkim_palay_puertoprincesa_sti_edu/_layouts/15/onedrive.aspx?id=%2Fpersonal%2Fmichaelkim%5Fpalay%5Fpuertoprincesa%5Fsti%5Fedu%2FDocuments%2FRepository%20Faculty%20Members%2FRepository%20SY2526%2FREPOSITORY%202T2526%2FMAPANAO%2C%20MARRY%20JUSSLE%2FONLINE%20CLASS%20DOCUMENTATION&amp;viewid=080e1a7c%2D27d6%2D482e%2Daa99%2D0b8e8943888e" TargetMode="External"/><Relationship Id="rId2" Type="http://schemas.openxmlformats.org/officeDocument/2006/relationships/hyperlink" Target="https://stiedu-my.sharepoint.com/:f:/r/personal/michaelkim_palay_puertoprincesa_sti_edu/Documents/Repository%20Faculty%20Members/Repository%20SY2526/REPOSITORY%202T2526/ESMAS,%20DANILYN/ONLINE%20CLASSES%20DOCUMENTATION?csf=1&amp;web=1&amp;e=yXaAdY" TargetMode="External"/><Relationship Id="rId16" Type="http://schemas.openxmlformats.org/officeDocument/2006/relationships/hyperlink" Target="https://stiedu-my.sharepoint.com/personal/michaelkim_palay_puertoprincesa_sti_edu/_layouts/15/onedrive.aspx?id=%2Fpersonal%2Fmichaelkim%5Fpalay%5Fpuertoprincesa%5Fsti%5Fedu%2FDocuments%2FRepository%20Faculty%20Members%2FRepository%20SY2526%2FREPOSITORY%202T2526%2FESMAS%2C%20DANILYN&amp;viewid=080e1a7c%2D27d6%2D482e%2Daa99%2D0b8e8943888e" TargetMode="External"/><Relationship Id="rId20" Type="http://schemas.openxmlformats.org/officeDocument/2006/relationships/hyperlink" Target="https://stiedu-my.sharepoint.com/personal/michaelkim_palay_puertoprincesa_sti_edu/_layouts/15/onedrive.aspx?id=%2Fpersonal%2Fmichaelkim%5Fpalay%5Fpuertoprincesa%5Fsti%5Fedu%2FDocuments%2FRepository%20Faculty%20Members%2FRepository%20SY2526%2FREPOSITORY%202T2526%2FNARIO%2C%20FELY%20ERIKA%2FDocumentation%2FPre%2DFinal%20ELMS&amp;viewid=080e1a7c%2D27d6%2D482e%2Daa99%2D0b8e8943888e" TargetMode="External"/><Relationship Id="rId29" Type="http://schemas.openxmlformats.org/officeDocument/2006/relationships/hyperlink" Target="https://stiedu-my.sharepoint.com/personal/michaelkim_palay_puertoprincesa_sti_edu/_layouts/15/onedrive.aspx?id=%2Fpersonal%2Fmichaelkim%5Fpalay%5Fpuertoprincesa%5Fsti%5Fedu%2FDocuments%2FRepository%20Faculty%20Members%2FRepository%20SY2526%2FREPOSITORY%202T2526%2FMAPANAO%2C%20MARRY%20JUSSLE%2FActivities%20documentation%2FCUART%20Catering&amp;viewid=080e1a7c%2D27d6%2D482e%2Daa99%2D0b8e8943888e&amp;ga=1" TargetMode="External"/><Relationship Id="rId1" Type="http://schemas.openxmlformats.org/officeDocument/2006/relationships/hyperlink" Target="https://stiedu-my.sharepoint.com/:f:/r/personal/michaelkim_palay_puertoprincesa_sti_edu/Documents/Repository%20Faculty%20Members/Repository%20SY2526/REPOSITORY%202T2526/ESMAS,%20DANILYN/ONLINE%20CLASSES%20DOCUMENTATION?csf=1&amp;web=1&amp;e=yXaAdY" TargetMode="External"/><Relationship Id="rId6" Type="http://schemas.openxmlformats.org/officeDocument/2006/relationships/hyperlink" Target="https://stiedu-my.sharepoint.com/personal/michaelkim_palay_puertoprincesa_sti_edu/_layouts/15/onedrive.aspx?id=%2Fpersonal%2Fmichaelkim%5Fpalay%5Fpuertoprincesa%5Fsti%5Fedu%2FDocuments%2FRepository%20Faculty%20Members%2FRepository%20SY2526%2FREPOSITORY%202T2526%2FNARIO%2C%20FELY%20ERIKA%2FDocumentation%2FBakers%20Camp&amp;viewid=080e1a7c%2D27d6%2D482e%2Daa99%2D0b8e8943888e" TargetMode="External"/><Relationship Id="rId11" Type="http://schemas.openxmlformats.org/officeDocument/2006/relationships/hyperlink" Target="https://stiedu-my.sharepoint.com/personal/michaelkim_palay_puertoprincesa_sti_edu/_layouts/15/onedrive.aspx?id=%2Fpersonal%2Fmichaelkim%5Fpalay%5Fpuertoprincesa%5Fsti%5Fedu%2FDocuments%2FRepository%20Faculty%20Members%2FBUSINESS%20EXPOSITION%202026%2FPrograms&amp;viewid=080e1a7c%2D27d6%2D482e%2Daa99%2D0b8e8943888e" TargetMode="External"/><Relationship Id="rId24" Type="http://schemas.openxmlformats.org/officeDocument/2006/relationships/hyperlink" Target="https://employees.sti.edu/RFP/RFPView/RFP05261183" TargetMode="External"/><Relationship Id="rId32" Type="http://schemas.microsoft.com/office/2017/10/relationships/threadedComment" Target="../threadedComments/threadedComment1.xml"/><Relationship Id="rId5" Type="http://schemas.openxmlformats.org/officeDocument/2006/relationships/hyperlink" Target="https://stiedu-my.sharepoint.com/personal/michaelkim_palay_puertoprincesa_sti_edu/_layouts/15/onedrive.aspx?id=%2Fpersonal%2Fmichaelkim%5Fpalay%5Fpuertoprincesa%5Fsti%5Fedu%2FDocuments%2FRepository%20Faculty%20Members%2FRepository%20SY2526%2FREPOSITORY%202T2526%2FNARIO%2C%20FELY%20ERIKA%2FDocumentation%2FFSD%20Panelists%20Invitation%20Letter&amp;viewid=080e1a7c%2D27d6%2D482e%2Daa99%2D0b8e8943888e" TargetMode="External"/><Relationship Id="rId15" Type="http://schemas.openxmlformats.org/officeDocument/2006/relationships/hyperlink" Target="https://stiedu-my.sharepoint.com/personal/michaelkim_palay_puertoprincesa_sti_edu/_layouts/15/onedrive.aspx?viewid=080e1a7c%2D27d6%2D482e%2Daa99%2D0b8e8943888e&amp;id=%2Fpersonal%2Fmichaelkim%5Fpalay%5Fpuertoprincesa%5Fsti%5Fedu%2FDocuments%2FRepository%20Faculty%20Members%2FRepository%20SY2526%2FREPOSITORY%202T2526%2FMAPANAO%2C%20MARRY%20JUSSLE%2FONLINE%20CLASS%20DOCUMENTATION%2FScreenshot%202026%2D05%2D09%20090017%2Epng&amp;parent=%2Fpersonal%2Fmichaelkim%5Fpalay%5Fpuertoprincesa%5Fsti%5Fedu%2FDocuments%2FRepository%20Faculty%20Members%2FRepository%20SY2526%2FREPOSITORY%202T2526%2FMAPANAO%2C%20MARRY%20JUSSLE%2FONLINE%20CLASS%20DOCUMENTATION" TargetMode="External"/><Relationship Id="rId23" Type="http://schemas.openxmlformats.org/officeDocument/2006/relationships/hyperlink" Target="https://canva.link/usl9l5589dvzwhf" TargetMode="External"/><Relationship Id="rId28" Type="http://schemas.openxmlformats.org/officeDocument/2006/relationships/hyperlink" Target="https://stiedu-my.sharepoint.com/personal/michaelkim_palay_puertoprincesa_sti_edu/_layouts/15/onedrive.aspx?id=%2Fpersonal%2Fmichaelkim%5Fpalay%5Fpuertoprincesa%5Fsti%5Fedu%2FDocuments%2FRepository%20Faculty%20Members%2FRepository%20SY2526%2FREPOSITORY%202T2526%2FNARIO%2C%20FELY%20ERIKA%2FDocumentation%2FFine%20Dining%20Activity%20at%20Hotel%20Fleuris&amp;viewid=080e1a7c%2D27d6%2D482e%2Daa99%2D0b8e8943888e" TargetMode="External"/><Relationship Id="rId10" Type="http://schemas.openxmlformats.org/officeDocument/2006/relationships/hyperlink" Target="https://stiedu-my.sharepoint.com/personal/michaelkim_palay_puertoprincesa_sti_edu/_layouts/15/onedrive.aspx?id=%2Fpersonal%2Fmichaelkim%5Fpalay%5Fpuertoprincesa%5Fsti%5Fedu%2FDocuments%2FRepository%20Faculty%20Members%2FRepository%20SY2526%2FREPOSITORY%202T2526%2FMAPANAO%2C%20MARRY%20JUSSLE&amp;viewid=080e1a7c%2D27d6%2D482e%2Daa99%2D0b8e8943888e" TargetMode="External"/><Relationship Id="rId19" Type="http://schemas.openxmlformats.org/officeDocument/2006/relationships/hyperlink" Target="https://stiedu-my.sharepoint.com/personal/michaelkim_palay_puertoprincesa_sti_edu/_layouts/15/onedrive.aspx?id=%2Fpersonal%2Fmichaelkim%5Fpalay%5Fpuertoprincesa%5Fsti%5Fedu%2FDocuments%2FRepository%20Faculty%20Members%2FRepository%20SY2526%2FREPOSITORY%202T2526%2FESMAS%2C%20DANILYN&amp;viewid=080e1a7c%2D27d6%2D482e%2Daa99%2D0b8e8943888e" TargetMode="External"/><Relationship Id="rId31" Type="http://schemas.openxmlformats.org/officeDocument/2006/relationships/comments" Target="../comments1.xml"/><Relationship Id="rId4" Type="http://schemas.openxmlformats.org/officeDocument/2006/relationships/hyperlink" Target="https://stiedu-my.sharepoint.com/personal/michaelkim_palay_puertoprincesa_sti_edu/_layouts/15/onedrive.aspx?id=%2Fpersonal%2Fmichaelkim%5Fpalay%5Fpuertoprincesa%5Fsti%5Fedu%2FDocuments%2FRepository%20Faculty%20Members%2FRepository%20SY2526%2FREPOSITORY%202T2526%2FNARIO%2C%20FELY%20ERIKA%2FDocumentation&amp;viewid=080e1a7c%2D27d6%2D482e%2Daa99%2D0b8e8943888e" TargetMode="External"/><Relationship Id="rId9" Type="http://schemas.openxmlformats.org/officeDocument/2006/relationships/hyperlink" Target="https://stiedu-my.sharepoint.com/personal/michaelkim_palay_puertoprincesa_sti_edu/_layouts/15/onedrive.aspx?id=%2Fpersonal%2Fmichaelkim%5Fpalay%5Fpuertoprincesa%5Fsti%5Fedu%2FDocuments%2FRepository%20Faculty%20Members%2FRepository%20SY2526%2FREPOSITORY%202T2526%2FNARIO%2C%20FELY%20ERIKA%2FDocumentation%2FFS%20Defense&amp;viewid=080e1a7c%2D27d6%2D482e%2Daa99%2D0b8e8943888e" TargetMode="External"/><Relationship Id="rId14" Type="http://schemas.openxmlformats.org/officeDocument/2006/relationships/hyperlink" Target="https://stiedu-my.sharepoint.com/personal/michaelkim_palay_puertoprincesa_sti_edu/_layouts/15/onedrive.aspx?viewid=080e1a7c%2D27d6%2D482e%2Daa99%2D0b8e8943888e&amp;id=%2Fpersonal%2Fmichaelkim%5Fpalay%5Fpuertoprincesa%5Fsti%5Fedu%2FDocuments%2FRepository%20Faculty%20Members%2FRepository%20SY2526%2FREPOSITORY%202T2526%2FMAPANAO%2C%20MARRY%20JUSSLE%2FActivities%20documentation%2FCAKE%20DECO%2Ejpg&amp;parent=%2Fpersonal%2Fmichaelkim%5Fpalay%5Fpuertoprincesa%5Fsti%5Fedu%2FDocuments%2FRepository%20Faculty%20Members%2FRepository%20SY2526%2FREPOSITORY%202T2526%2FMAPANAO%2C%20MARRY%20JUSSLE%2FActivities%20documentation" TargetMode="External"/><Relationship Id="rId22" Type="http://schemas.openxmlformats.org/officeDocument/2006/relationships/hyperlink" Target="https://stiedu-my.sharepoint.com/personal/michaelkim_palay_puertoprincesa_sti_edu/_layouts/15/onedrive.aspx?id=%2Fpersonal%2Fmichaelkim%5Fpalay%5Fpuertoprincesa%5Fsti%5Fedu%2FDocuments%2FRepository%20Faculty%20Members%2FRepository%20SY2526%2FREPOSITORY%202T2526%2FESMAS%2C%20DANILYN&amp;viewid=080e1a7c%2D27d6%2D482e%2Daa99%2D0b8e8943888e" TargetMode="External"/><Relationship Id="rId27" Type="http://schemas.openxmlformats.org/officeDocument/2006/relationships/hyperlink" Target="https://stiedu-my.sharepoint.com/personal/michaelkim_palay_puertoprincesa_sti_edu/_layouts/15/onedrive.aspx?viewid=080e1a7c%2D27d6%2D482e%2Daa99%2D0b8e8943888e&amp;id=%2Fpersonal%2Fmichaelkim%5Fpalay%5Fpuertoprincesa%5Fsti%5Fedu%2FDocuments%2FRepository%20Faculty%20Members%2FRepository%20SY2526%2FREPOSITORY%202T2526%2FMAPANAO%2C%20MARRY%20JUSSLE%2FONLINE%20CLASS%20DOCUMENTATION%2FIMG%5F7990%2EJPEG&amp;parent=%2Fpersonal%2Fmichaelkim%5Fpalay%5Fpuertoprincesa%5Fsti%5Fedu%2FDocuments%2FRepository%20Faculty%20Members%2FRepository%20SY2526%2FREPOSITORY%202T2526%2FMAPANAO%2C%20MARRY%20JUSSLE%2FONLINE%20CLASS%20DOCUMENTATION" TargetMode="External"/><Relationship Id="rId30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1154"/>
  <sheetViews>
    <sheetView tabSelected="1" workbookViewId="0">
      <pane ySplit="2" topLeftCell="A519" activePane="bottomLeft" state="frozen"/>
      <selection pane="bottomLeft" activeCell="B836" sqref="B836"/>
      <selection activeCell="F1" sqref="F1"/>
    </sheetView>
  </sheetViews>
  <sheetFormatPr defaultColWidth="9" defaultRowHeight="13.5"/>
  <cols>
    <col min="1" max="1" width="12.125" style="4" customWidth="1"/>
    <col min="2" max="2" width="24.375" customWidth="1"/>
    <col min="3" max="3" width="17.5" customWidth="1"/>
    <col min="4" max="4" width="10.875" customWidth="1"/>
    <col min="5" max="5" width="25.125" customWidth="1"/>
    <col min="6" max="6" width="53.75" customWidth="1"/>
    <col min="7" max="7" width="17.5" style="4" customWidth="1"/>
    <col min="8" max="8" width="9.375" customWidth="1"/>
    <col min="9" max="9" width="15.25" customWidth="1"/>
    <col min="10" max="10" width="18.625" customWidth="1"/>
    <col min="11" max="11" width="35.625" customWidth="1"/>
    <col min="12" max="12" width="30.375" customWidth="1"/>
    <col min="13" max="14" width="17.5" customWidth="1"/>
  </cols>
  <sheetData>
    <row r="1" spans="1:13" ht="52.5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17"/>
      <c r="M1" s="17"/>
    </row>
    <row r="2" spans="1:13">
      <c r="A2" s="19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8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/>
      <c r="M2" s="1" t="s">
        <v>12</v>
      </c>
    </row>
    <row r="3" spans="1:13" hidden="1">
      <c r="A3" s="6">
        <v>46128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2">
        <v>46128</v>
      </c>
      <c r="H3" t="s">
        <v>18</v>
      </c>
      <c r="I3" s="13" t="s">
        <v>19</v>
      </c>
      <c r="J3">
        <f t="shared" ref="J3:J136" si="0">IF(I3="Completed",100,IF(I3="Ongoing",50,IF(I3="For Review",75,IF(I3="Delayed",30,0))))</f>
        <v>100</v>
      </c>
    </row>
    <row r="4" spans="1:13" hidden="1">
      <c r="A4" s="6">
        <v>46128</v>
      </c>
      <c r="B4" t="s">
        <v>13</v>
      </c>
      <c r="C4" t="s">
        <v>14</v>
      </c>
      <c r="D4" t="s">
        <v>15</v>
      </c>
      <c r="E4" t="s">
        <v>20</v>
      </c>
      <c r="F4" t="s">
        <v>21</v>
      </c>
      <c r="G4" s="2">
        <v>46129</v>
      </c>
      <c r="H4" t="s">
        <v>18</v>
      </c>
      <c r="I4" s="13" t="s">
        <v>19</v>
      </c>
      <c r="J4">
        <f t="shared" si="0"/>
        <v>100</v>
      </c>
    </row>
    <row r="5" spans="1:13" hidden="1">
      <c r="A5" s="6">
        <v>46129</v>
      </c>
      <c r="B5" t="s">
        <v>22</v>
      </c>
      <c r="C5" t="s">
        <v>23</v>
      </c>
      <c r="D5" t="s">
        <v>15</v>
      </c>
      <c r="E5" t="s">
        <v>20</v>
      </c>
      <c r="F5" t="s">
        <v>24</v>
      </c>
      <c r="G5" s="2" t="s">
        <v>25</v>
      </c>
      <c r="H5" t="s">
        <v>18</v>
      </c>
      <c r="I5" s="13" t="s">
        <v>19</v>
      </c>
      <c r="J5">
        <f t="shared" si="0"/>
        <v>100</v>
      </c>
    </row>
    <row r="6" spans="1:13" hidden="1">
      <c r="A6" s="6">
        <v>46129</v>
      </c>
      <c r="B6" t="s">
        <v>26</v>
      </c>
      <c r="C6" t="s">
        <v>23</v>
      </c>
      <c r="D6" t="s">
        <v>15</v>
      </c>
      <c r="E6" t="s">
        <v>20</v>
      </c>
      <c r="F6" t="s">
        <v>24</v>
      </c>
      <c r="G6" s="2" t="s">
        <v>25</v>
      </c>
      <c r="H6" t="s">
        <v>18</v>
      </c>
      <c r="I6" s="13" t="s">
        <v>19</v>
      </c>
      <c r="J6">
        <f t="shared" si="0"/>
        <v>100</v>
      </c>
    </row>
    <row r="7" spans="1:13" hidden="1">
      <c r="A7" s="6">
        <v>46129</v>
      </c>
      <c r="B7" t="s">
        <v>27</v>
      </c>
      <c r="C7" t="s">
        <v>28</v>
      </c>
      <c r="D7" t="s">
        <v>15</v>
      </c>
      <c r="E7" t="s">
        <v>20</v>
      </c>
      <c r="F7" t="s">
        <v>29</v>
      </c>
      <c r="G7" s="2">
        <v>46129</v>
      </c>
      <c r="H7" t="s">
        <v>18</v>
      </c>
      <c r="I7" s="13" t="s">
        <v>19</v>
      </c>
      <c r="J7">
        <f t="shared" si="0"/>
        <v>100</v>
      </c>
    </row>
    <row r="8" spans="1:13" hidden="1">
      <c r="A8" s="6">
        <v>46177</v>
      </c>
      <c r="B8" t="s">
        <v>27</v>
      </c>
      <c r="C8" t="s">
        <v>28</v>
      </c>
      <c r="D8" t="s">
        <v>15</v>
      </c>
      <c r="E8" t="s">
        <v>30</v>
      </c>
      <c r="F8" t="s">
        <v>31</v>
      </c>
      <c r="G8" s="2">
        <v>46177</v>
      </c>
      <c r="H8" t="s">
        <v>18</v>
      </c>
      <c r="I8" t="s">
        <v>19</v>
      </c>
      <c r="J8">
        <f t="shared" si="0"/>
        <v>100</v>
      </c>
    </row>
    <row r="9" spans="1:13" hidden="1">
      <c r="A9" s="6">
        <v>46147</v>
      </c>
      <c r="B9" t="s">
        <v>27</v>
      </c>
      <c r="C9" t="s">
        <v>28</v>
      </c>
      <c r="D9" t="s">
        <v>15</v>
      </c>
      <c r="E9" t="s">
        <v>32</v>
      </c>
      <c r="F9" t="s">
        <v>33</v>
      </c>
      <c r="G9" s="2">
        <v>46149</v>
      </c>
      <c r="H9" t="s">
        <v>18</v>
      </c>
      <c r="I9" s="13" t="s">
        <v>19</v>
      </c>
      <c r="J9">
        <f t="shared" si="0"/>
        <v>100</v>
      </c>
    </row>
    <row r="10" spans="1:13" hidden="1">
      <c r="A10" s="6">
        <v>46147</v>
      </c>
      <c r="B10" t="s">
        <v>27</v>
      </c>
      <c r="C10" t="s">
        <v>28</v>
      </c>
      <c r="D10" t="s">
        <v>15</v>
      </c>
      <c r="E10" t="s">
        <v>32</v>
      </c>
      <c r="F10" t="s">
        <v>34</v>
      </c>
      <c r="G10" s="2">
        <v>46150</v>
      </c>
      <c r="H10" t="s">
        <v>18</v>
      </c>
      <c r="I10" s="13" t="s">
        <v>19</v>
      </c>
      <c r="J10">
        <f t="shared" si="0"/>
        <v>100</v>
      </c>
    </row>
    <row r="11" spans="1:13" hidden="1">
      <c r="A11" s="6">
        <v>46147</v>
      </c>
      <c r="B11" t="s">
        <v>27</v>
      </c>
      <c r="C11" t="s">
        <v>28</v>
      </c>
      <c r="D11" t="s">
        <v>15</v>
      </c>
      <c r="E11" t="s">
        <v>32</v>
      </c>
      <c r="F11" t="s">
        <v>35</v>
      </c>
      <c r="G11" s="2">
        <v>46156</v>
      </c>
      <c r="H11" t="s">
        <v>18</v>
      </c>
      <c r="I11" t="s">
        <v>19</v>
      </c>
      <c r="J11">
        <f t="shared" si="0"/>
        <v>100</v>
      </c>
    </row>
    <row r="12" spans="1:13" hidden="1">
      <c r="A12" s="6">
        <v>46147</v>
      </c>
      <c r="B12" t="s">
        <v>27</v>
      </c>
      <c r="C12" t="s">
        <v>28</v>
      </c>
      <c r="D12" t="s">
        <v>15</v>
      </c>
      <c r="E12" t="s">
        <v>32</v>
      </c>
      <c r="F12" t="s">
        <v>36</v>
      </c>
      <c r="G12" s="2">
        <v>46148</v>
      </c>
      <c r="H12" t="s">
        <v>18</v>
      </c>
      <c r="I12" s="13" t="s">
        <v>19</v>
      </c>
      <c r="J12">
        <f t="shared" si="0"/>
        <v>100</v>
      </c>
    </row>
    <row r="13" spans="1:13" hidden="1">
      <c r="A13" s="6">
        <v>46147</v>
      </c>
      <c r="B13" t="s">
        <v>27</v>
      </c>
      <c r="C13" t="s">
        <v>28</v>
      </c>
      <c r="D13" t="s">
        <v>15</v>
      </c>
      <c r="E13" t="s">
        <v>30</v>
      </c>
      <c r="F13" t="s">
        <v>37</v>
      </c>
      <c r="G13" s="2">
        <v>46173</v>
      </c>
      <c r="H13" t="s">
        <v>18</v>
      </c>
      <c r="I13" t="s">
        <v>19</v>
      </c>
      <c r="J13">
        <f t="shared" si="0"/>
        <v>100</v>
      </c>
    </row>
    <row r="14" spans="1:13" hidden="1">
      <c r="A14" s="6">
        <v>46129</v>
      </c>
      <c r="B14" t="s">
        <v>38</v>
      </c>
      <c r="C14" t="s">
        <v>39</v>
      </c>
      <c r="D14" t="s">
        <v>15</v>
      </c>
      <c r="E14" t="s">
        <v>40</v>
      </c>
      <c r="F14" t="s">
        <v>41</v>
      </c>
      <c r="G14" s="2">
        <v>46129</v>
      </c>
      <c r="H14" t="s">
        <v>18</v>
      </c>
      <c r="I14" s="13" t="s">
        <v>19</v>
      </c>
      <c r="J14">
        <f t="shared" si="0"/>
        <v>100</v>
      </c>
    </row>
    <row r="15" spans="1:13" hidden="1">
      <c r="A15" s="6">
        <v>46141</v>
      </c>
      <c r="B15" t="s">
        <v>42</v>
      </c>
      <c r="C15" t="s">
        <v>43</v>
      </c>
      <c r="D15" t="s">
        <v>15</v>
      </c>
      <c r="E15" t="s">
        <v>44</v>
      </c>
      <c r="F15" t="s">
        <v>45</v>
      </c>
      <c r="G15" s="2">
        <v>46141</v>
      </c>
      <c r="H15" t="s">
        <v>18</v>
      </c>
      <c r="I15" s="13" t="s">
        <v>19</v>
      </c>
      <c r="J15">
        <f t="shared" si="0"/>
        <v>100</v>
      </c>
    </row>
    <row r="16" spans="1:13" ht="15" hidden="1">
      <c r="A16" s="6">
        <v>46142</v>
      </c>
      <c r="B16" t="s">
        <v>42</v>
      </c>
      <c r="C16" t="s">
        <v>43</v>
      </c>
      <c r="D16" t="s">
        <v>15</v>
      </c>
      <c r="E16" t="s">
        <v>46</v>
      </c>
      <c r="F16" s="7" t="s">
        <v>47</v>
      </c>
      <c r="G16" s="2">
        <v>46150</v>
      </c>
      <c r="H16" t="s">
        <v>18</v>
      </c>
      <c r="I16" s="13" t="s">
        <v>19</v>
      </c>
      <c r="J16">
        <f t="shared" si="0"/>
        <v>100</v>
      </c>
      <c r="K16" t="s">
        <v>48</v>
      </c>
      <c r="M16" t="s">
        <v>49</v>
      </c>
    </row>
    <row r="17" spans="1:13" ht="15">
      <c r="A17" s="6">
        <v>46146</v>
      </c>
      <c r="B17" t="s">
        <v>42</v>
      </c>
      <c r="C17" t="s">
        <v>43</v>
      </c>
      <c r="D17" t="s">
        <v>15</v>
      </c>
      <c r="E17" t="s">
        <v>46</v>
      </c>
      <c r="F17" s="7" t="s">
        <v>50</v>
      </c>
      <c r="G17" s="2">
        <v>46146</v>
      </c>
      <c r="H17" t="s">
        <v>18</v>
      </c>
      <c r="I17" t="s">
        <v>51</v>
      </c>
      <c r="J17">
        <f t="shared" si="0"/>
        <v>50</v>
      </c>
    </row>
    <row r="18" spans="1:13" ht="15" hidden="1">
      <c r="A18" s="6">
        <v>46146</v>
      </c>
      <c r="B18" t="s">
        <v>42</v>
      </c>
      <c r="C18" t="s">
        <v>43</v>
      </c>
      <c r="D18" t="s">
        <v>15</v>
      </c>
      <c r="E18" t="s">
        <v>52</v>
      </c>
      <c r="F18" s="7" t="s">
        <v>53</v>
      </c>
      <c r="G18" s="2">
        <v>46147</v>
      </c>
      <c r="H18" t="s">
        <v>18</v>
      </c>
      <c r="I18" s="13" t="s">
        <v>19</v>
      </c>
      <c r="J18">
        <f t="shared" si="0"/>
        <v>100</v>
      </c>
      <c r="K18" t="s">
        <v>54</v>
      </c>
    </row>
    <row r="19" spans="1:13" ht="15" hidden="1">
      <c r="A19" s="6">
        <v>46146</v>
      </c>
      <c r="B19" t="s">
        <v>42</v>
      </c>
      <c r="C19" t="s">
        <v>43</v>
      </c>
      <c r="D19" t="s">
        <v>15</v>
      </c>
      <c r="E19" t="s">
        <v>55</v>
      </c>
      <c r="F19" s="7" t="s">
        <v>56</v>
      </c>
      <c r="G19" s="2">
        <v>46147</v>
      </c>
      <c r="H19" t="s">
        <v>57</v>
      </c>
      <c r="I19" s="13" t="s">
        <v>19</v>
      </c>
      <c r="J19">
        <f t="shared" si="0"/>
        <v>100</v>
      </c>
      <c r="K19" t="s">
        <v>58</v>
      </c>
    </row>
    <row r="20" spans="1:13" ht="15" hidden="1">
      <c r="A20" s="6">
        <v>46146</v>
      </c>
      <c r="B20" t="s">
        <v>42</v>
      </c>
      <c r="C20" t="s">
        <v>43</v>
      </c>
      <c r="D20" t="s">
        <v>15</v>
      </c>
      <c r="E20" t="s">
        <v>59</v>
      </c>
      <c r="F20" s="7" t="s">
        <v>60</v>
      </c>
      <c r="G20" s="2">
        <v>46146</v>
      </c>
      <c r="H20" t="s">
        <v>57</v>
      </c>
      <c r="I20" s="13" t="s">
        <v>19</v>
      </c>
      <c r="J20">
        <f t="shared" si="0"/>
        <v>100</v>
      </c>
      <c r="K20" t="s">
        <v>61</v>
      </c>
    </row>
    <row r="21" spans="1:13" ht="15" hidden="1">
      <c r="A21" s="6">
        <v>46147</v>
      </c>
      <c r="B21" t="s">
        <v>42</v>
      </c>
      <c r="C21" t="s">
        <v>43</v>
      </c>
      <c r="D21" t="s">
        <v>15</v>
      </c>
      <c r="E21" t="s">
        <v>44</v>
      </c>
      <c r="F21" s="7" t="s">
        <v>62</v>
      </c>
      <c r="G21" s="2">
        <v>46147</v>
      </c>
      <c r="H21" t="s">
        <v>57</v>
      </c>
      <c r="I21" s="13" t="s">
        <v>19</v>
      </c>
      <c r="J21">
        <f t="shared" si="0"/>
        <v>100</v>
      </c>
    </row>
    <row r="22" spans="1:13" ht="15" hidden="1">
      <c r="A22" s="6">
        <v>46150</v>
      </c>
      <c r="B22" t="s">
        <v>42</v>
      </c>
      <c r="C22" t="s">
        <v>43</v>
      </c>
      <c r="D22" t="s">
        <v>15</v>
      </c>
      <c r="E22" t="s">
        <v>63</v>
      </c>
      <c r="F22" s="7" t="s">
        <v>64</v>
      </c>
      <c r="G22" s="2" t="s">
        <v>65</v>
      </c>
      <c r="H22" t="s">
        <v>57</v>
      </c>
      <c r="I22" s="13" t="s">
        <v>19</v>
      </c>
      <c r="J22">
        <f t="shared" si="0"/>
        <v>100</v>
      </c>
      <c r="K22" t="s">
        <v>66</v>
      </c>
      <c r="M22" s="11" t="s">
        <v>67</v>
      </c>
    </row>
    <row r="23" spans="1:13" ht="15" hidden="1">
      <c r="A23" s="6">
        <v>46156</v>
      </c>
      <c r="B23" t="s">
        <v>42</v>
      </c>
      <c r="C23" t="s">
        <v>43</v>
      </c>
      <c r="D23" t="s">
        <v>15</v>
      </c>
      <c r="E23" t="s">
        <v>68</v>
      </c>
      <c r="F23" s="7" t="s">
        <v>69</v>
      </c>
      <c r="G23" s="2">
        <v>46156</v>
      </c>
      <c r="H23" t="s">
        <v>57</v>
      </c>
      <c r="I23" s="13" t="s">
        <v>19</v>
      </c>
      <c r="J23">
        <f>IF(I23="Completed",100,IF(I23="Ongoing",50,IF(I23="For Review",75,IF(I23="Delayed",30,0))))</f>
        <v>100</v>
      </c>
      <c r="M23" s="11"/>
    </row>
    <row r="24" spans="1:13" ht="15" hidden="1">
      <c r="A24" s="6">
        <v>46160</v>
      </c>
      <c r="B24" t="s">
        <v>42</v>
      </c>
      <c r="C24" t="s">
        <v>43</v>
      </c>
      <c r="D24" t="s">
        <v>15</v>
      </c>
      <c r="E24" t="s">
        <v>70</v>
      </c>
      <c r="F24" s="7" t="s">
        <v>71</v>
      </c>
      <c r="G24" s="2">
        <v>46160</v>
      </c>
      <c r="H24" t="s">
        <v>57</v>
      </c>
      <c r="I24" s="13" t="s">
        <v>19</v>
      </c>
      <c r="J24">
        <f t="shared" ref="J24:J95" si="1">IF(I24="Completed",100,IF(I24="Ongoing",50,IF(I24="For Review",75,IF(I24="Delayed",30,0))))</f>
        <v>100</v>
      </c>
      <c r="M24" s="11"/>
    </row>
    <row r="25" spans="1:13" ht="15">
      <c r="A25" s="6">
        <v>46161</v>
      </c>
      <c r="B25" t="s">
        <v>42</v>
      </c>
      <c r="C25" t="s">
        <v>43</v>
      </c>
      <c r="D25" t="s">
        <v>15</v>
      </c>
      <c r="E25" t="s">
        <v>44</v>
      </c>
      <c r="F25" s="7" t="s">
        <v>62</v>
      </c>
      <c r="G25" s="2">
        <v>46162</v>
      </c>
      <c r="H25" t="s">
        <v>57</v>
      </c>
      <c r="I25" s="13" t="s">
        <v>51</v>
      </c>
      <c r="J25">
        <f t="shared" si="1"/>
        <v>50</v>
      </c>
      <c r="K25" t="s">
        <v>72</v>
      </c>
      <c r="M25" s="11"/>
    </row>
    <row r="26" spans="1:13" ht="15" hidden="1">
      <c r="A26" s="6">
        <v>46161</v>
      </c>
      <c r="B26" t="s">
        <v>42</v>
      </c>
      <c r="C26" t="s">
        <v>43</v>
      </c>
      <c r="D26" t="s">
        <v>15</v>
      </c>
      <c r="E26" t="s">
        <v>44</v>
      </c>
      <c r="F26" s="7" t="s">
        <v>73</v>
      </c>
      <c r="G26" s="2">
        <v>46161</v>
      </c>
      <c r="H26" t="s">
        <v>57</v>
      </c>
      <c r="I26" s="13" t="s">
        <v>19</v>
      </c>
      <c r="J26">
        <f t="shared" si="1"/>
        <v>100</v>
      </c>
      <c r="K26" t="s">
        <v>74</v>
      </c>
      <c r="M26" s="11"/>
    </row>
    <row r="27" spans="1:13">
      <c r="A27" s="6">
        <v>46162</v>
      </c>
      <c r="B27" t="s">
        <v>42</v>
      </c>
      <c r="C27" t="s">
        <v>43</v>
      </c>
      <c r="D27" t="s">
        <v>15</v>
      </c>
      <c r="E27" t="s">
        <v>75</v>
      </c>
      <c r="F27" t="s">
        <v>76</v>
      </c>
      <c r="G27" s="2">
        <v>46183</v>
      </c>
      <c r="H27" t="s">
        <v>57</v>
      </c>
      <c r="I27" s="13" t="s">
        <v>51</v>
      </c>
      <c r="J27">
        <f t="shared" si="1"/>
        <v>50</v>
      </c>
      <c r="K27" t="s">
        <v>77</v>
      </c>
      <c r="M27" s="11" t="s">
        <v>78</v>
      </c>
    </row>
    <row r="28" spans="1:13" hidden="1">
      <c r="A28" s="6">
        <v>46163</v>
      </c>
      <c r="B28" t="s">
        <v>42</v>
      </c>
      <c r="C28" t="s">
        <v>43</v>
      </c>
      <c r="D28" t="s">
        <v>15</v>
      </c>
      <c r="E28" t="s">
        <v>79</v>
      </c>
      <c r="F28" t="s">
        <v>80</v>
      </c>
      <c r="G28" s="2">
        <v>46163</v>
      </c>
      <c r="H28" t="s">
        <v>18</v>
      </c>
      <c r="I28" s="13" t="s">
        <v>19</v>
      </c>
      <c r="J28">
        <f t="shared" si="1"/>
        <v>100</v>
      </c>
      <c r="M28" s="11"/>
    </row>
    <row r="29" spans="1:13" hidden="1">
      <c r="A29" s="6">
        <v>46164</v>
      </c>
      <c r="B29" t="s">
        <v>42</v>
      </c>
      <c r="C29" t="s">
        <v>43</v>
      </c>
      <c r="D29" t="s">
        <v>15</v>
      </c>
      <c r="E29" t="s">
        <v>70</v>
      </c>
      <c r="F29" t="s">
        <v>81</v>
      </c>
      <c r="G29" s="2"/>
      <c r="I29" s="13" t="s">
        <v>19</v>
      </c>
      <c r="J29">
        <f t="shared" si="1"/>
        <v>100</v>
      </c>
      <c r="M29" s="11"/>
    </row>
    <row r="30" spans="1:13" hidden="1">
      <c r="A30" s="6">
        <v>46165</v>
      </c>
      <c r="B30" t="s">
        <v>42</v>
      </c>
      <c r="C30" t="s">
        <v>43</v>
      </c>
      <c r="D30" t="s">
        <v>15</v>
      </c>
      <c r="E30" t="s">
        <v>82</v>
      </c>
      <c r="F30" t="s">
        <v>83</v>
      </c>
      <c r="G30" s="2">
        <v>46165</v>
      </c>
      <c r="I30" s="13" t="s">
        <v>19</v>
      </c>
      <c r="J30">
        <f t="shared" si="1"/>
        <v>100</v>
      </c>
      <c r="M30" s="11"/>
    </row>
    <row r="31" spans="1:13" hidden="1">
      <c r="A31" s="6">
        <v>46167</v>
      </c>
      <c r="B31" t="s">
        <v>42</v>
      </c>
      <c r="C31" t="s">
        <v>43</v>
      </c>
      <c r="D31" t="s">
        <v>15</v>
      </c>
      <c r="E31" t="s">
        <v>84</v>
      </c>
      <c r="G31" s="2">
        <v>46168</v>
      </c>
      <c r="H31" t="s">
        <v>57</v>
      </c>
      <c r="I31" s="13" t="s">
        <v>19</v>
      </c>
      <c r="J31">
        <f t="shared" si="1"/>
        <v>100</v>
      </c>
      <c r="M31" s="11"/>
    </row>
    <row r="32" spans="1:13" ht="15">
      <c r="A32" s="6">
        <v>46167</v>
      </c>
      <c r="B32" t="s">
        <v>42</v>
      </c>
      <c r="C32" t="s">
        <v>43</v>
      </c>
      <c r="D32" t="s">
        <v>15</v>
      </c>
      <c r="E32" t="s">
        <v>44</v>
      </c>
      <c r="F32" s="7" t="s">
        <v>62</v>
      </c>
      <c r="G32" s="2">
        <v>46167</v>
      </c>
      <c r="H32" t="s">
        <v>57</v>
      </c>
      <c r="I32" s="13" t="s">
        <v>51</v>
      </c>
      <c r="J32">
        <f t="shared" si="1"/>
        <v>50</v>
      </c>
      <c r="M32" s="11"/>
    </row>
    <row r="33" spans="1:13" ht="15">
      <c r="A33" s="6">
        <v>46168</v>
      </c>
      <c r="B33" t="s">
        <v>42</v>
      </c>
      <c r="C33" t="s">
        <v>43</v>
      </c>
      <c r="D33" t="s">
        <v>15</v>
      </c>
      <c r="E33" t="s">
        <v>85</v>
      </c>
      <c r="F33" s="7" t="s">
        <v>86</v>
      </c>
      <c r="G33" s="2"/>
      <c r="I33" s="13"/>
      <c r="J33">
        <f t="shared" si="1"/>
        <v>0</v>
      </c>
      <c r="M33" s="11"/>
    </row>
    <row r="34" spans="1:13" ht="15" hidden="1">
      <c r="A34" s="6">
        <v>46168</v>
      </c>
      <c r="B34" t="s">
        <v>42</v>
      </c>
      <c r="C34" t="s">
        <v>43</v>
      </c>
      <c r="D34" t="s">
        <v>15</v>
      </c>
      <c r="E34" t="s">
        <v>84</v>
      </c>
      <c r="F34" s="7"/>
      <c r="G34" s="2">
        <v>46168</v>
      </c>
      <c r="H34" t="s">
        <v>57</v>
      </c>
      <c r="I34" s="13" t="s">
        <v>19</v>
      </c>
      <c r="J34">
        <f t="shared" si="1"/>
        <v>100</v>
      </c>
      <c r="M34" s="11"/>
    </row>
    <row r="35" spans="1:13" ht="15" hidden="1">
      <c r="A35" s="6">
        <v>46170</v>
      </c>
      <c r="B35" t="s">
        <v>42</v>
      </c>
      <c r="C35" t="s">
        <v>43</v>
      </c>
      <c r="D35" t="s">
        <v>15</v>
      </c>
      <c r="E35" t="s">
        <v>52</v>
      </c>
      <c r="F35" s="7" t="s">
        <v>87</v>
      </c>
      <c r="G35" s="2">
        <v>46170</v>
      </c>
      <c r="H35" t="s">
        <v>57</v>
      </c>
      <c r="I35" s="13" t="s">
        <v>19</v>
      </c>
      <c r="J35">
        <f t="shared" si="1"/>
        <v>100</v>
      </c>
      <c r="M35" s="11"/>
    </row>
    <row r="36" spans="1:13" ht="15" hidden="1">
      <c r="A36" s="6">
        <v>46170</v>
      </c>
      <c r="B36" t="s">
        <v>42</v>
      </c>
      <c r="C36" t="s">
        <v>43</v>
      </c>
      <c r="D36" t="s">
        <v>15</v>
      </c>
      <c r="E36" t="s">
        <v>79</v>
      </c>
      <c r="F36" s="7" t="s">
        <v>88</v>
      </c>
      <c r="G36" s="2">
        <v>46171</v>
      </c>
      <c r="H36" t="s">
        <v>18</v>
      </c>
      <c r="I36" s="13" t="s">
        <v>19</v>
      </c>
      <c r="J36">
        <f t="shared" si="1"/>
        <v>100</v>
      </c>
      <c r="M36" s="11"/>
    </row>
    <row r="37" spans="1:13" ht="15" hidden="1">
      <c r="A37" s="6">
        <v>46171</v>
      </c>
      <c r="B37" t="s">
        <v>42</v>
      </c>
      <c r="C37" t="s">
        <v>43</v>
      </c>
      <c r="D37" t="s">
        <v>15</v>
      </c>
      <c r="E37" t="s">
        <v>70</v>
      </c>
      <c r="F37" s="7" t="s">
        <v>89</v>
      </c>
      <c r="G37" s="2">
        <v>46171</v>
      </c>
      <c r="H37" t="s">
        <v>57</v>
      </c>
      <c r="I37" s="13" t="s">
        <v>19</v>
      </c>
      <c r="J37">
        <f t="shared" si="1"/>
        <v>100</v>
      </c>
      <c r="M37" s="11"/>
    </row>
    <row r="38" spans="1:13" ht="15" hidden="1">
      <c r="A38" s="6">
        <v>46171</v>
      </c>
      <c r="B38" t="s">
        <v>42</v>
      </c>
      <c r="C38" t="s">
        <v>43</v>
      </c>
      <c r="D38" t="s">
        <v>15</v>
      </c>
      <c r="E38" t="s">
        <v>52</v>
      </c>
      <c r="F38" s="7" t="s">
        <v>87</v>
      </c>
      <c r="G38" s="2">
        <v>46171</v>
      </c>
      <c r="H38" t="s">
        <v>18</v>
      </c>
      <c r="I38" s="13" t="s">
        <v>19</v>
      </c>
      <c r="J38">
        <f t="shared" si="1"/>
        <v>100</v>
      </c>
      <c r="M38" s="11"/>
    </row>
    <row r="39" spans="1:13" ht="15" hidden="1">
      <c r="A39" s="6">
        <v>46174</v>
      </c>
      <c r="B39" t="s">
        <v>42</v>
      </c>
      <c r="C39" t="s">
        <v>43</v>
      </c>
      <c r="D39" t="s">
        <v>15</v>
      </c>
      <c r="E39" t="s">
        <v>46</v>
      </c>
      <c r="F39" s="7" t="s">
        <v>90</v>
      </c>
      <c r="G39" s="2">
        <v>46174</v>
      </c>
      <c r="H39" t="s">
        <v>18</v>
      </c>
      <c r="I39" s="13" t="s">
        <v>19</v>
      </c>
      <c r="J39">
        <f t="shared" si="1"/>
        <v>100</v>
      </c>
      <c r="M39" s="11"/>
    </row>
    <row r="40" spans="1:13" ht="15" hidden="1">
      <c r="A40" s="6">
        <v>46174</v>
      </c>
      <c r="B40" t="s">
        <v>42</v>
      </c>
      <c r="C40" t="s">
        <v>43</v>
      </c>
      <c r="D40" t="s">
        <v>15</v>
      </c>
      <c r="E40" t="s">
        <v>46</v>
      </c>
      <c r="F40" s="7" t="s">
        <v>91</v>
      </c>
      <c r="G40" s="2">
        <v>46174</v>
      </c>
      <c r="H40" t="s">
        <v>18</v>
      </c>
      <c r="I40" s="13" t="s">
        <v>19</v>
      </c>
      <c r="J40">
        <f t="shared" si="1"/>
        <v>100</v>
      </c>
      <c r="M40" s="11"/>
    </row>
    <row r="41" spans="1:13" ht="15" hidden="1">
      <c r="A41" s="6">
        <v>46175</v>
      </c>
      <c r="B41" t="s">
        <v>42</v>
      </c>
      <c r="C41" t="s">
        <v>43</v>
      </c>
      <c r="D41" t="s">
        <v>15</v>
      </c>
      <c r="E41" t="s">
        <v>82</v>
      </c>
      <c r="F41" s="7" t="s">
        <v>92</v>
      </c>
      <c r="G41" s="2">
        <v>46175</v>
      </c>
      <c r="H41" t="s">
        <v>57</v>
      </c>
      <c r="I41" s="13" t="s">
        <v>19</v>
      </c>
      <c r="J41">
        <f t="shared" si="1"/>
        <v>100</v>
      </c>
      <c r="M41" s="11"/>
    </row>
    <row r="42" spans="1:13" ht="15" hidden="1">
      <c r="A42" s="6">
        <v>46175</v>
      </c>
      <c r="B42" t="s">
        <v>42</v>
      </c>
      <c r="C42" t="s">
        <v>43</v>
      </c>
      <c r="D42" t="s">
        <v>15</v>
      </c>
      <c r="E42" t="s">
        <v>44</v>
      </c>
      <c r="F42" s="7" t="s">
        <v>93</v>
      </c>
      <c r="G42" s="2">
        <v>46175</v>
      </c>
      <c r="H42" t="s">
        <v>18</v>
      </c>
      <c r="I42" s="13" t="s">
        <v>19</v>
      </c>
      <c r="J42">
        <f t="shared" si="1"/>
        <v>100</v>
      </c>
      <c r="M42" s="11"/>
    </row>
    <row r="43" spans="1:13" ht="15" hidden="1">
      <c r="A43" s="6">
        <v>46175</v>
      </c>
      <c r="B43" t="s">
        <v>42</v>
      </c>
      <c r="C43" t="s">
        <v>43</v>
      </c>
      <c r="D43" t="s">
        <v>15</v>
      </c>
      <c r="F43" s="7" t="s">
        <v>94</v>
      </c>
      <c r="G43" s="2">
        <v>46176</v>
      </c>
      <c r="H43" t="s">
        <v>18</v>
      </c>
      <c r="I43" s="13" t="s">
        <v>19</v>
      </c>
      <c r="J43">
        <f t="shared" si="1"/>
        <v>100</v>
      </c>
      <c r="M43" s="11"/>
    </row>
    <row r="44" spans="1:13" ht="15" hidden="1">
      <c r="A44" s="6">
        <v>46176</v>
      </c>
      <c r="B44" t="s">
        <v>42</v>
      </c>
      <c r="C44" t="s">
        <v>43</v>
      </c>
      <c r="D44" t="s">
        <v>15</v>
      </c>
      <c r="E44" t="s">
        <v>55</v>
      </c>
      <c r="F44" s="7" t="s">
        <v>31</v>
      </c>
      <c r="G44" s="2">
        <v>46177</v>
      </c>
      <c r="H44" t="s">
        <v>18</v>
      </c>
      <c r="I44" s="13" t="s">
        <v>19</v>
      </c>
      <c r="J44">
        <f t="shared" si="1"/>
        <v>100</v>
      </c>
      <c r="M44" s="11"/>
    </row>
    <row r="45" spans="1:13" ht="15" hidden="1">
      <c r="A45" s="6">
        <v>46178</v>
      </c>
      <c r="B45" t="s">
        <v>42</v>
      </c>
      <c r="C45" t="s">
        <v>43</v>
      </c>
      <c r="D45" t="s">
        <v>15</v>
      </c>
      <c r="E45" t="s">
        <v>44</v>
      </c>
      <c r="F45" s="7" t="s">
        <v>95</v>
      </c>
      <c r="G45" s="2">
        <v>46182</v>
      </c>
      <c r="H45" t="s">
        <v>18</v>
      </c>
      <c r="I45" s="13" t="s">
        <v>19</v>
      </c>
      <c r="J45">
        <f t="shared" si="1"/>
        <v>100</v>
      </c>
      <c r="M45" s="11"/>
    </row>
    <row r="46" spans="1:13" ht="15" hidden="1">
      <c r="A46" s="6">
        <v>46182</v>
      </c>
      <c r="B46" t="s">
        <v>42</v>
      </c>
      <c r="C46" t="s">
        <v>43</v>
      </c>
      <c r="D46" t="s">
        <v>15</v>
      </c>
      <c r="E46" t="s">
        <v>52</v>
      </c>
      <c r="F46" s="7" t="s">
        <v>96</v>
      </c>
      <c r="G46" s="2">
        <v>46182</v>
      </c>
      <c r="H46" t="s">
        <v>18</v>
      </c>
      <c r="I46" s="13" t="s">
        <v>19</v>
      </c>
      <c r="J46">
        <f t="shared" si="1"/>
        <v>100</v>
      </c>
      <c r="K46" t="s">
        <v>97</v>
      </c>
      <c r="M46" s="11"/>
    </row>
    <row r="47" spans="1:13" ht="15">
      <c r="A47" s="6">
        <v>46182</v>
      </c>
      <c r="B47" t="s">
        <v>42</v>
      </c>
      <c r="C47" t="s">
        <v>43</v>
      </c>
      <c r="D47" t="s">
        <v>15</v>
      </c>
      <c r="E47" t="s">
        <v>79</v>
      </c>
      <c r="F47" s="7" t="s">
        <v>80</v>
      </c>
      <c r="G47" s="2"/>
      <c r="I47" s="13"/>
      <c r="J47">
        <f t="shared" si="1"/>
        <v>0</v>
      </c>
      <c r="M47" s="11"/>
    </row>
    <row r="48" spans="1:13" hidden="1">
      <c r="A48" s="6">
        <v>46183</v>
      </c>
      <c r="B48" t="s">
        <v>42</v>
      </c>
      <c r="C48" t="s">
        <v>43</v>
      </c>
      <c r="D48" t="s">
        <v>15</v>
      </c>
      <c r="E48" t="s">
        <v>75</v>
      </c>
      <c r="F48" t="s">
        <v>76</v>
      </c>
      <c r="G48" s="2">
        <v>46183</v>
      </c>
      <c r="H48" t="s">
        <v>57</v>
      </c>
      <c r="I48" s="13" t="s">
        <v>19</v>
      </c>
      <c r="J48">
        <f t="shared" si="1"/>
        <v>100</v>
      </c>
      <c r="L48" t="s">
        <v>98</v>
      </c>
      <c r="M48" s="11" t="s">
        <v>99</v>
      </c>
    </row>
    <row r="49" spans="1:13" hidden="1">
      <c r="A49" s="6">
        <v>46184</v>
      </c>
      <c r="B49" t="s">
        <v>42</v>
      </c>
      <c r="C49" t="s">
        <v>43</v>
      </c>
      <c r="D49" t="s">
        <v>15</v>
      </c>
      <c r="E49" t="s">
        <v>75</v>
      </c>
      <c r="F49" t="s">
        <v>100</v>
      </c>
      <c r="G49" s="2">
        <v>46184</v>
      </c>
      <c r="H49" t="s">
        <v>18</v>
      </c>
      <c r="I49" s="13" t="s">
        <v>19</v>
      </c>
      <c r="J49">
        <f t="shared" si="1"/>
        <v>100</v>
      </c>
      <c r="M49" s="11"/>
    </row>
    <row r="50" spans="1:13">
      <c r="A50" s="6">
        <v>46184</v>
      </c>
      <c r="B50" t="s">
        <v>42</v>
      </c>
      <c r="C50" t="s">
        <v>43</v>
      </c>
      <c r="D50" t="s">
        <v>15</v>
      </c>
      <c r="E50" t="s">
        <v>44</v>
      </c>
      <c r="F50" t="s">
        <v>101</v>
      </c>
      <c r="G50" s="2"/>
      <c r="J50">
        <f t="shared" si="1"/>
        <v>0</v>
      </c>
      <c r="M50" s="11"/>
    </row>
    <row r="51" spans="1:13">
      <c r="A51" s="6">
        <v>46188</v>
      </c>
      <c r="B51" t="s">
        <v>42</v>
      </c>
      <c r="C51" t="s">
        <v>43</v>
      </c>
      <c r="D51" t="s">
        <v>15</v>
      </c>
      <c r="E51" t="s">
        <v>44</v>
      </c>
      <c r="F51" t="s">
        <v>101</v>
      </c>
      <c r="G51" s="2"/>
      <c r="M51" s="11"/>
    </row>
    <row r="52" spans="1:13">
      <c r="A52" s="6">
        <v>46188</v>
      </c>
      <c r="B52" t="s">
        <v>42</v>
      </c>
      <c r="C52" t="s">
        <v>43</v>
      </c>
      <c r="D52" t="s">
        <v>15</v>
      </c>
      <c r="F52" t="s">
        <v>102</v>
      </c>
      <c r="G52" s="2"/>
      <c r="M52" s="11"/>
    </row>
    <row r="53" spans="1:13">
      <c r="A53" s="6">
        <v>46189</v>
      </c>
      <c r="B53" t="s">
        <v>42</v>
      </c>
      <c r="C53" t="s">
        <v>43</v>
      </c>
      <c r="D53" t="s">
        <v>15</v>
      </c>
      <c r="F53" t="s">
        <v>102</v>
      </c>
      <c r="G53" s="2"/>
      <c r="M53" s="11"/>
    </row>
    <row r="54" spans="1:13">
      <c r="A54" s="6">
        <v>46189</v>
      </c>
      <c r="B54" t="s">
        <v>42</v>
      </c>
      <c r="C54" t="s">
        <v>43</v>
      </c>
      <c r="D54" t="s">
        <v>15</v>
      </c>
      <c r="E54" t="s">
        <v>44</v>
      </c>
      <c r="F54" t="s">
        <v>103</v>
      </c>
      <c r="G54" s="2">
        <v>46197</v>
      </c>
      <c r="M54" s="11"/>
    </row>
    <row r="55" spans="1:13">
      <c r="A55" s="6">
        <v>46190</v>
      </c>
      <c r="B55" t="s">
        <v>42</v>
      </c>
      <c r="C55" t="s">
        <v>43</v>
      </c>
      <c r="D55" t="s">
        <v>15</v>
      </c>
      <c r="E55" t="s">
        <v>44</v>
      </c>
      <c r="F55" t="s">
        <v>104</v>
      </c>
      <c r="G55" s="2"/>
      <c r="M55" s="11"/>
    </row>
    <row r="56" spans="1:13">
      <c r="A56" s="6">
        <v>46191</v>
      </c>
      <c r="B56" t="s">
        <v>42</v>
      </c>
      <c r="C56" t="s">
        <v>43</v>
      </c>
      <c r="D56" t="s">
        <v>15</v>
      </c>
      <c r="E56" t="s">
        <v>44</v>
      </c>
      <c r="F56" t="s">
        <v>104</v>
      </c>
      <c r="G56" s="2"/>
      <c r="M56" s="11"/>
    </row>
    <row r="57" spans="1:13">
      <c r="A57" s="6">
        <v>46192</v>
      </c>
      <c r="B57" t="s">
        <v>42</v>
      </c>
      <c r="C57" t="s">
        <v>43</v>
      </c>
      <c r="D57" t="s">
        <v>15</v>
      </c>
      <c r="F57" t="s">
        <v>102</v>
      </c>
      <c r="G57" s="2"/>
      <c r="M57" s="11"/>
    </row>
    <row r="58" spans="1:13">
      <c r="A58" s="6">
        <v>46192</v>
      </c>
      <c r="B58" t="s">
        <v>42</v>
      </c>
      <c r="C58" t="s">
        <v>43</v>
      </c>
      <c r="D58" t="s">
        <v>15</v>
      </c>
      <c r="F58" t="s">
        <v>105</v>
      </c>
      <c r="G58" s="2"/>
      <c r="M58" s="11"/>
    </row>
    <row r="59" spans="1:13">
      <c r="A59" s="6">
        <v>46195</v>
      </c>
      <c r="B59" t="s">
        <v>42</v>
      </c>
      <c r="C59" t="s">
        <v>43</v>
      </c>
      <c r="D59" t="s">
        <v>15</v>
      </c>
      <c r="E59" t="s">
        <v>44</v>
      </c>
      <c r="F59" t="s">
        <v>106</v>
      </c>
      <c r="G59" s="2">
        <v>46198</v>
      </c>
      <c r="M59" s="11"/>
    </row>
    <row r="60" spans="1:13" hidden="1">
      <c r="A60" s="6">
        <v>46132</v>
      </c>
      <c r="B60" t="s">
        <v>107</v>
      </c>
      <c r="C60" t="s">
        <v>108</v>
      </c>
      <c r="D60" t="s">
        <v>15</v>
      </c>
      <c r="E60" t="s">
        <v>109</v>
      </c>
      <c r="F60" t="s">
        <v>110</v>
      </c>
      <c r="G60" s="2">
        <v>46132</v>
      </c>
      <c r="H60" t="s">
        <v>18</v>
      </c>
      <c r="I60" s="13" t="s">
        <v>19</v>
      </c>
      <c r="J60">
        <f t="shared" si="1"/>
        <v>100</v>
      </c>
      <c r="K60" s="3"/>
      <c r="L60" s="3"/>
    </row>
    <row r="61" spans="1:13" hidden="1">
      <c r="A61" s="6">
        <v>46142</v>
      </c>
      <c r="B61" t="s">
        <v>107</v>
      </c>
      <c r="C61" t="s">
        <v>108</v>
      </c>
      <c r="D61" t="s">
        <v>15</v>
      </c>
      <c r="E61" t="s">
        <v>111</v>
      </c>
      <c r="F61" t="s">
        <v>112</v>
      </c>
      <c r="G61" s="2">
        <v>46145</v>
      </c>
      <c r="H61" t="s">
        <v>18</v>
      </c>
      <c r="I61" s="13" t="s">
        <v>19</v>
      </c>
      <c r="J61">
        <f t="shared" si="1"/>
        <v>100</v>
      </c>
      <c r="K61" s="3" t="s">
        <v>113</v>
      </c>
      <c r="L61" s="3"/>
    </row>
    <row r="62" spans="1:13" hidden="1">
      <c r="A62" s="6">
        <v>46142</v>
      </c>
      <c r="B62" t="s">
        <v>107</v>
      </c>
      <c r="C62" t="s">
        <v>108</v>
      </c>
      <c r="D62" t="s">
        <v>15</v>
      </c>
      <c r="E62" t="s">
        <v>114</v>
      </c>
      <c r="F62" t="s">
        <v>115</v>
      </c>
      <c r="G62" s="2">
        <v>46150</v>
      </c>
      <c r="H62" t="s">
        <v>18</v>
      </c>
      <c r="I62" s="13" t="s">
        <v>19</v>
      </c>
      <c r="J62">
        <f t="shared" si="1"/>
        <v>100</v>
      </c>
      <c r="K62" s="3"/>
      <c r="L62" s="3"/>
    </row>
    <row r="63" spans="1:13" hidden="1">
      <c r="A63" s="6">
        <v>46146</v>
      </c>
      <c r="B63" t="s">
        <v>107</v>
      </c>
      <c r="C63" t="s">
        <v>108</v>
      </c>
      <c r="D63" t="s">
        <v>15</v>
      </c>
      <c r="E63" t="s">
        <v>116</v>
      </c>
      <c r="F63" t="s">
        <v>117</v>
      </c>
      <c r="G63" s="2">
        <v>46157</v>
      </c>
      <c r="H63" t="s">
        <v>18</v>
      </c>
      <c r="I63" s="13" t="s">
        <v>19</v>
      </c>
      <c r="J63">
        <f t="shared" si="1"/>
        <v>100</v>
      </c>
      <c r="K63" s="3" t="s">
        <v>118</v>
      </c>
      <c r="L63" s="3"/>
    </row>
    <row r="64" spans="1:13">
      <c r="A64" s="6">
        <v>46146</v>
      </c>
      <c r="B64" t="s">
        <v>107</v>
      </c>
      <c r="C64" t="s">
        <v>108</v>
      </c>
      <c r="D64" t="s">
        <v>15</v>
      </c>
      <c r="E64" t="s">
        <v>119</v>
      </c>
      <c r="F64" t="s">
        <v>120</v>
      </c>
      <c r="G64" s="2"/>
      <c r="H64" t="s">
        <v>18</v>
      </c>
      <c r="I64" t="s">
        <v>51</v>
      </c>
      <c r="J64">
        <f t="shared" si="1"/>
        <v>50</v>
      </c>
      <c r="K64" s="3"/>
      <c r="L64" s="3"/>
    </row>
    <row r="65" spans="1:12" hidden="1">
      <c r="A65" s="6">
        <v>46146</v>
      </c>
      <c r="B65" t="s">
        <v>107</v>
      </c>
      <c r="C65" t="s">
        <v>108</v>
      </c>
      <c r="D65" t="s">
        <v>15</v>
      </c>
      <c r="E65" t="s">
        <v>121</v>
      </c>
      <c r="F65" t="s">
        <v>122</v>
      </c>
      <c r="G65" s="2"/>
      <c r="H65" t="s">
        <v>18</v>
      </c>
      <c r="I65" s="13" t="s">
        <v>19</v>
      </c>
      <c r="J65">
        <f t="shared" si="1"/>
        <v>100</v>
      </c>
      <c r="K65" s="3"/>
      <c r="L65" s="3"/>
    </row>
    <row r="66" spans="1:12" hidden="1">
      <c r="A66" s="6">
        <v>46147</v>
      </c>
      <c r="B66" t="s">
        <v>107</v>
      </c>
      <c r="C66" t="s">
        <v>108</v>
      </c>
      <c r="D66" t="s">
        <v>15</v>
      </c>
      <c r="E66" t="s">
        <v>123</v>
      </c>
      <c r="F66" t="s">
        <v>124</v>
      </c>
      <c r="G66" s="2"/>
      <c r="H66" t="s">
        <v>18</v>
      </c>
      <c r="I66" s="13" t="s">
        <v>19</v>
      </c>
      <c r="J66">
        <f t="shared" si="1"/>
        <v>100</v>
      </c>
      <c r="K66" s="3"/>
      <c r="L66" s="3"/>
    </row>
    <row r="67" spans="1:12" hidden="1">
      <c r="A67" s="6">
        <v>46147</v>
      </c>
      <c r="B67" t="s">
        <v>107</v>
      </c>
      <c r="C67" t="s">
        <v>108</v>
      </c>
      <c r="D67" t="s">
        <v>15</v>
      </c>
      <c r="E67" t="s">
        <v>125</v>
      </c>
      <c r="F67" t="s">
        <v>126</v>
      </c>
      <c r="G67" s="2"/>
      <c r="H67" t="s">
        <v>18</v>
      </c>
      <c r="I67" s="13" t="s">
        <v>19</v>
      </c>
      <c r="J67">
        <f t="shared" si="1"/>
        <v>100</v>
      </c>
      <c r="K67" s="3"/>
      <c r="L67" s="3"/>
    </row>
    <row r="68" spans="1:12" hidden="1">
      <c r="A68" s="6">
        <v>46147</v>
      </c>
      <c r="B68" t="s">
        <v>107</v>
      </c>
      <c r="C68" t="s">
        <v>108</v>
      </c>
      <c r="D68" t="s">
        <v>15</v>
      </c>
      <c r="E68" t="s">
        <v>127</v>
      </c>
      <c r="F68" t="s">
        <v>128</v>
      </c>
      <c r="G68" s="2"/>
      <c r="H68" t="s">
        <v>18</v>
      </c>
      <c r="I68" s="13" t="s">
        <v>19</v>
      </c>
      <c r="J68">
        <f t="shared" si="1"/>
        <v>100</v>
      </c>
      <c r="K68" s="3"/>
      <c r="L68" s="3"/>
    </row>
    <row r="69" spans="1:12" hidden="1">
      <c r="A69" s="6">
        <v>46148</v>
      </c>
      <c r="B69" t="s">
        <v>107</v>
      </c>
      <c r="C69" t="s">
        <v>108</v>
      </c>
      <c r="D69" t="s">
        <v>15</v>
      </c>
      <c r="E69" t="s">
        <v>127</v>
      </c>
      <c r="F69" t="s">
        <v>129</v>
      </c>
      <c r="G69" s="2">
        <v>46157</v>
      </c>
      <c r="H69" t="s">
        <v>18</v>
      </c>
      <c r="I69" s="13" t="s">
        <v>19</v>
      </c>
      <c r="J69">
        <f t="shared" si="1"/>
        <v>100</v>
      </c>
      <c r="K69" s="3" t="s">
        <v>130</v>
      </c>
      <c r="L69" s="3"/>
    </row>
    <row r="70" spans="1:12" hidden="1">
      <c r="A70" s="6">
        <v>46149</v>
      </c>
      <c r="B70" t="s">
        <v>107</v>
      </c>
      <c r="C70" t="s">
        <v>108</v>
      </c>
      <c r="D70" t="s">
        <v>15</v>
      </c>
      <c r="E70" t="s">
        <v>131</v>
      </c>
      <c r="F70" t="s">
        <v>132</v>
      </c>
      <c r="G70" s="2">
        <v>46149</v>
      </c>
      <c r="H70" t="s">
        <v>18</v>
      </c>
      <c r="I70" s="13" t="s">
        <v>19</v>
      </c>
      <c r="J70">
        <f t="shared" si="1"/>
        <v>100</v>
      </c>
      <c r="K70" s="3"/>
      <c r="L70" s="3"/>
    </row>
    <row r="71" spans="1:12" hidden="1">
      <c r="A71" s="6">
        <v>46149</v>
      </c>
      <c r="B71" t="s">
        <v>107</v>
      </c>
      <c r="C71" t="s">
        <v>108</v>
      </c>
      <c r="D71" t="s">
        <v>15</v>
      </c>
      <c r="E71" t="s">
        <v>133</v>
      </c>
      <c r="F71" t="s">
        <v>134</v>
      </c>
      <c r="G71" s="2"/>
      <c r="H71" t="s">
        <v>18</v>
      </c>
      <c r="I71" s="13" t="s">
        <v>19</v>
      </c>
      <c r="J71">
        <f t="shared" si="1"/>
        <v>100</v>
      </c>
      <c r="K71" s="3"/>
      <c r="L71" s="3"/>
    </row>
    <row r="72" spans="1:12" hidden="1">
      <c r="A72" s="6">
        <v>46146</v>
      </c>
      <c r="B72" t="s">
        <v>135</v>
      </c>
      <c r="C72" t="s">
        <v>136</v>
      </c>
      <c r="D72" t="s">
        <v>15</v>
      </c>
      <c r="E72" t="s">
        <v>131</v>
      </c>
      <c r="F72" t="s">
        <v>137</v>
      </c>
      <c r="G72" s="2">
        <v>46146</v>
      </c>
      <c r="H72" t="s">
        <v>57</v>
      </c>
      <c r="I72" s="13" t="s">
        <v>19</v>
      </c>
      <c r="J72">
        <f t="shared" si="1"/>
        <v>100</v>
      </c>
      <c r="K72" s="3"/>
      <c r="L72" s="3"/>
    </row>
    <row r="73" spans="1:12" hidden="1">
      <c r="A73" s="6">
        <v>46141</v>
      </c>
      <c r="B73" t="s">
        <v>135</v>
      </c>
      <c r="C73" t="s">
        <v>136</v>
      </c>
      <c r="D73" t="s">
        <v>15</v>
      </c>
      <c r="E73" t="s">
        <v>138</v>
      </c>
      <c r="F73" t="s">
        <v>139</v>
      </c>
      <c r="G73" s="2">
        <v>46141</v>
      </c>
      <c r="H73" t="s">
        <v>57</v>
      </c>
      <c r="I73" s="13" t="s">
        <v>19</v>
      </c>
      <c r="J73">
        <f t="shared" si="1"/>
        <v>100</v>
      </c>
      <c r="K73" s="3"/>
      <c r="L73" s="3"/>
    </row>
    <row r="74" spans="1:12" hidden="1">
      <c r="A74" s="6">
        <v>46146</v>
      </c>
      <c r="B74" t="s">
        <v>135</v>
      </c>
      <c r="C74" t="s">
        <v>136</v>
      </c>
      <c r="D74" t="s">
        <v>15</v>
      </c>
      <c r="E74" t="s">
        <v>140</v>
      </c>
      <c r="F74" t="s">
        <v>141</v>
      </c>
      <c r="G74" s="2">
        <v>46150</v>
      </c>
      <c r="H74" t="s">
        <v>18</v>
      </c>
      <c r="I74" s="13" t="s">
        <v>19</v>
      </c>
      <c r="J74">
        <f t="shared" si="1"/>
        <v>100</v>
      </c>
      <c r="K74" s="3"/>
      <c r="L74" s="3"/>
    </row>
    <row r="75" spans="1:12" hidden="1">
      <c r="A75" s="6">
        <v>46146</v>
      </c>
      <c r="B75" t="s">
        <v>135</v>
      </c>
      <c r="C75" t="s">
        <v>136</v>
      </c>
      <c r="D75" t="s">
        <v>15</v>
      </c>
      <c r="E75" t="s">
        <v>142</v>
      </c>
      <c r="F75" t="s">
        <v>143</v>
      </c>
      <c r="G75" s="2">
        <v>46149</v>
      </c>
      <c r="H75" t="s">
        <v>144</v>
      </c>
      <c r="I75" s="13" t="s">
        <v>19</v>
      </c>
      <c r="J75">
        <f t="shared" si="1"/>
        <v>100</v>
      </c>
      <c r="K75" s="3"/>
      <c r="L75" s="3"/>
    </row>
    <row r="76" spans="1:12" hidden="1">
      <c r="A76" s="6">
        <v>46146</v>
      </c>
      <c r="B76" t="s">
        <v>135</v>
      </c>
      <c r="C76" t="s">
        <v>136</v>
      </c>
      <c r="D76" t="s">
        <v>15</v>
      </c>
      <c r="E76" t="s">
        <v>32</v>
      </c>
      <c r="F76" t="s">
        <v>145</v>
      </c>
      <c r="G76" s="2"/>
      <c r="H76" t="s">
        <v>57</v>
      </c>
      <c r="I76" s="13" t="s">
        <v>19</v>
      </c>
      <c r="J76">
        <f t="shared" si="1"/>
        <v>100</v>
      </c>
      <c r="K76" s="3"/>
      <c r="L76" s="3"/>
    </row>
    <row r="77" spans="1:12" hidden="1">
      <c r="A77" s="6">
        <v>46146</v>
      </c>
      <c r="B77" t="s">
        <v>135</v>
      </c>
      <c r="C77" t="s">
        <v>136</v>
      </c>
      <c r="D77" t="s">
        <v>15</v>
      </c>
      <c r="E77" t="s">
        <v>32</v>
      </c>
      <c r="F77" t="s">
        <v>146</v>
      </c>
      <c r="G77" s="2"/>
      <c r="H77" t="s">
        <v>18</v>
      </c>
      <c r="I77" s="13" t="s">
        <v>19</v>
      </c>
      <c r="J77">
        <f t="shared" si="1"/>
        <v>100</v>
      </c>
      <c r="K77" s="3"/>
      <c r="L77" s="3"/>
    </row>
    <row r="78" spans="1:12" hidden="1">
      <c r="A78" s="4" t="s">
        <v>147</v>
      </c>
      <c r="B78" t="s">
        <v>135</v>
      </c>
      <c r="C78" t="s">
        <v>136</v>
      </c>
      <c r="D78" t="s">
        <v>15</v>
      </c>
      <c r="E78" t="s">
        <v>109</v>
      </c>
      <c r="F78" t="s">
        <v>148</v>
      </c>
      <c r="G78" s="3" t="s">
        <v>147</v>
      </c>
      <c r="H78" t="s">
        <v>57</v>
      </c>
      <c r="I78" s="13" t="s">
        <v>19</v>
      </c>
      <c r="J78">
        <f t="shared" si="1"/>
        <v>100</v>
      </c>
    </row>
    <row r="79" spans="1:12" hidden="1">
      <c r="A79" s="6">
        <v>46512</v>
      </c>
      <c r="B79" t="s">
        <v>135</v>
      </c>
      <c r="C79" t="s">
        <v>136</v>
      </c>
      <c r="D79" t="s">
        <v>15</v>
      </c>
      <c r="E79" t="s">
        <v>131</v>
      </c>
      <c r="F79" t="s">
        <v>149</v>
      </c>
      <c r="G79" s="3"/>
      <c r="H79" t="s">
        <v>57</v>
      </c>
      <c r="I79" s="13" t="s">
        <v>19</v>
      </c>
      <c r="J79">
        <f t="shared" si="1"/>
        <v>100</v>
      </c>
    </row>
    <row r="80" spans="1:12" hidden="1">
      <c r="A80" s="6">
        <v>46147</v>
      </c>
      <c r="B80" t="s">
        <v>135</v>
      </c>
      <c r="C80" t="s">
        <v>136</v>
      </c>
      <c r="D80" t="s">
        <v>15</v>
      </c>
      <c r="E80" t="s">
        <v>150</v>
      </c>
      <c r="F80" t="s">
        <v>151</v>
      </c>
      <c r="G80" s="2">
        <v>46147</v>
      </c>
      <c r="H80" t="s">
        <v>144</v>
      </c>
      <c r="I80" s="13" t="s">
        <v>19</v>
      </c>
      <c r="J80">
        <f t="shared" si="1"/>
        <v>100</v>
      </c>
    </row>
    <row r="81" spans="1:13" hidden="1">
      <c r="A81" s="6">
        <v>46149</v>
      </c>
      <c r="B81" t="s">
        <v>135</v>
      </c>
      <c r="C81" t="s">
        <v>136</v>
      </c>
      <c r="D81" t="s">
        <v>15</v>
      </c>
      <c r="E81" t="s">
        <v>32</v>
      </c>
      <c r="F81" t="s">
        <v>152</v>
      </c>
      <c r="G81" s="2">
        <v>46149</v>
      </c>
      <c r="H81" t="s">
        <v>144</v>
      </c>
      <c r="I81" s="13" t="s">
        <v>19</v>
      </c>
      <c r="J81">
        <f t="shared" si="1"/>
        <v>100</v>
      </c>
    </row>
    <row r="82" spans="1:13" hidden="1">
      <c r="A82" s="6">
        <v>46150</v>
      </c>
      <c r="B82" t="s">
        <v>135</v>
      </c>
      <c r="C82" t="s">
        <v>136</v>
      </c>
      <c r="D82" t="s">
        <v>15</v>
      </c>
      <c r="E82" t="s">
        <v>32</v>
      </c>
      <c r="F82" t="s">
        <v>152</v>
      </c>
      <c r="G82" s="2">
        <v>46150</v>
      </c>
      <c r="H82" t="s">
        <v>153</v>
      </c>
      <c r="I82" s="13" t="s">
        <v>19</v>
      </c>
      <c r="J82">
        <f t="shared" si="1"/>
        <v>100</v>
      </c>
    </row>
    <row r="83" spans="1:13">
      <c r="A83" s="6">
        <v>46153</v>
      </c>
      <c r="B83" t="s">
        <v>135</v>
      </c>
      <c r="C83" t="s">
        <v>136</v>
      </c>
      <c r="D83" t="s">
        <v>15</v>
      </c>
      <c r="E83" t="s">
        <v>32</v>
      </c>
      <c r="F83" t="s">
        <v>154</v>
      </c>
      <c r="G83" s="2">
        <v>46153</v>
      </c>
      <c r="H83" t="s">
        <v>144</v>
      </c>
      <c r="I83" s="13" t="s">
        <v>155</v>
      </c>
      <c r="J83">
        <f t="shared" si="1"/>
        <v>50</v>
      </c>
    </row>
    <row r="84" spans="1:13" hidden="1">
      <c r="A84" s="6">
        <v>46129</v>
      </c>
      <c r="B84" t="s">
        <v>156</v>
      </c>
      <c r="C84" t="s">
        <v>157</v>
      </c>
      <c r="D84" t="s">
        <v>15</v>
      </c>
      <c r="E84" t="s">
        <v>82</v>
      </c>
      <c r="F84" t="s">
        <v>158</v>
      </c>
      <c r="G84" s="2">
        <v>46129</v>
      </c>
      <c r="H84" t="s">
        <v>18</v>
      </c>
      <c r="I84" s="13" t="s">
        <v>19</v>
      </c>
      <c r="J84">
        <f t="shared" si="1"/>
        <v>100</v>
      </c>
    </row>
    <row r="85" spans="1:13" hidden="1">
      <c r="A85" s="4" t="s">
        <v>147</v>
      </c>
      <c r="B85" t="s">
        <v>26</v>
      </c>
      <c r="C85" t="s">
        <v>23</v>
      </c>
      <c r="D85" t="s">
        <v>15</v>
      </c>
      <c r="E85" t="s">
        <v>159</v>
      </c>
      <c r="F85" t="s">
        <v>160</v>
      </c>
      <c r="G85" s="4" t="s">
        <v>147</v>
      </c>
      <c r="H85" t="s">
        <v>18</v>
      </c>
      <c r="I85" s="13" t="s">
        <v>19</v>
      </c>
      <c r="J85">
        <f t="shared" si="1"/>
        <v>100</v>
      </c>
    </row>
    <row r="86" spans="1:13" hidden="1">
      <c r="A86" s="6">
        <v>46142</v>
      </c>
      <c r="B86" t="s">
        <v>161</v>
      </c>
      <c r="C86" t="s">
        <v>162</v>
      </c>
      <c r="D86" t="s">
        <v>163</v>
      </c>
      <c r="E86" t="s">
        <v>159</v>
      </c>
      <c r="F86" t="s">
        <v>164</v>
      </c>
      <c r="G86" s="2">
        <v>46141</v>
      </c>
      <c r="H86" t="s">
        <v>18</v>
      </c>
      <c r="I86" s="13" t="s">
        <v>19</v>
      </c>
      <c r="J86">
        <f t="shared" si="1"/>
        <v>100</v>
      </c>
    </row>
    <row r="87" spans="1:13" hidden="1">
      <c r="A87" s="6">
        <v>46142</v>
      </c>
      <c r="B87" t="s">
        <v>165</v>
      </c>
      <c r="C87" t="s">
        <v>162</v>
      </c>
      <c r="D87" t="s">
        <v>166</v>
      </c>
      <c r="E87" t="s">
        <v>167</v>
      </c>
      <c r="F87" t="s">
        <v>168</v>
      </c>
      <c r="G87" s="2">
        <v>46153</v>
      </c>
      <c r="H87" t="s">
        <v>57</v>
      </c>
      <c r="I87" t="s">
        <v>19</v>
      </c>
      <c r="J87">
        <f t="shared" si="1"/>
        <v>100</v>
      </c>
    </row>
    <row r="88" spans="1:13" hidden="1">
      <c r="A88" s="6">
        <v>46142</v>
      </c>
      <c r="B88" t="s">
        <v>26</v>
      </c>
      <c r="C88" t="s">
        <v>23</v>
      </c>
      <c r="D88" t="s">
        <v>15</v>
      </c>
      <c r="E88" t="s">
        <v>20</v>
      </c>
      <c r="F88" t="s">
        <v>169</v>
      </c>
      <c r="G88" s="2">
        <v>46142</v>
      </c>
      <c r="H88" t="s">
        <v>18</v>
      </c>
      <c r="I88" s="13" t="s">
        <v>19</v>
      </c>
      <c r="J88">
        <f t="shared" si="1"/>
        <v>100</v>
      </c>
    </row>
    <row r="89" spans="1:13" hidden="1">
      <c r="A89" s="6">
        <v>46142</v>
      </c>
      <c r="B89" t="s">
        <v>170</v>
      </c>
      <c r="C89" t="s">
        <v>171</v>
      </c>
      <c r="D89" t="s">
        <v>15</v>
      </c>
      <c r="E89" t="s">
        <v>172</v>
      </c>
      <c r="F89" t="s">
        <v>173</v>
      </c>
      <c r="G89" s="6">
        <v>46148</v>
      </c>
      <c r="H89" t="s">
        <v>57</v>
      </c>
      <c r="I89" s="13" t="s">
        <v>19</v>
      </c>
      <c r="J89">
        <f t="shared" si="1"/>
        <v>100</v>
      </c>
      <c r="K89" t="s">
        <v>174</v>
      </c>
    </row>
    <row r="90" spans="1:13" hidden="1">
      <c r="A90" s="6">
        <v>46142</v>
      </c>
      <c r="B90" t="s">
        <v>175</v>
      </c>
      <c r="C90" t="s">
        <v>162</v>
      </c>
      <c r="D90" t="s">
        <v>176</v>
      </c>
      <c r="E90" t="s">
        <v>167</v>
      </c>
      <c r="F90" t="s">
        <v>177</v>
      </c>
      <c r="G90" s="6">
        <v>46142</v>
      </c>
      <c r="H90" t="s">
        <v>57</v>
      </c>
      <c r="I90" s="13" t="s">
        <v>19</v>
      </c>
      <c r="J90">
        <f t="shared" si="1"/>
        <v>100</v>
      </c>
    </row>
    <row r="91" spans="1:13" hidden="1">
      <c r="A91" s="6">
        <v>46142</v>
      </c>
      <c r="B91" t="s">
        <v>178</v>
      </c>
      <c r="C91" t="s">
        <v>162</v>
      </c>
      <c r="D91" t="s">
        <v>179</v>
      </c>
      <c r="E91" t="s">
        <v>180</v>
      </c>
      <c r="F91" t="s">
        <v>181</v>
      </c>
      <c r="G91" s="2">
        <v>46142</v>
      </c>
      <c r="H91" t="s">
        <v>57</v>
      </c>
      <c r="I91" s="13" t="s">
        <v>19</v>
      </c>
      <c r="J91">
        <f t="shared" si="1"/>
        <v>100</v>
      </c>
      <c r="K91" t="s">
        <v>182</v>
      </c>
      <c r="M91" s="11" t="s">
        <v>183</v>
      </c>
    </row>
    <row r="92" spans="1:13" hidden="1">
      <c r="A92" s="6">
        <v>46142</v>
      </c>
      <c r="B92" t="s">
        <v>184</v>
      </c>
      <c r="C92" t="s">
        <v>162</v>
      </c>
      <c r="D92" t="s">
        <v>176</v>
      </c>
      <c r="E92" t="s">
        <v>167</v>
      </c>
      <c r="F92" t="s">
        <v>185</v>
      </c>
      <c r="G92" s="2">
        <v>46150</v>
      </c>
      <c r="H92" t="s">
        <v>57</v>
      </c>
      <c r="I92" s="13" t="s">
        <v>19</v>
      </c>
      <c r="J92">
        <f t="shared" si="1"/>
        <v>100</v>
      </c>
    </row>
    <row r="93" spans="1:13" hidden="1">
      <c r="A93" s="6">
        <v>46142</v>
      </c>
      <c r="B93" t="s">
        <v>186</v>
      </c>
      <c r="C93" t="s">
        <v>162</v>
      </c>
      <c r="D93" t="s">
        <v>166</v>
      </c>
      <c r="E93" t="s">
        <v>187</v>
      </c>
      <c r="F93" t="s">
        <v>188</v>
      </c>
      <c r="G93" s="2">
        <v>46146</v>
      </c>
      <c r="H93" t="s">
        <v>57</v>
      </c>
      <c r="I93" s="13" t="s">
        <v>19</v>
      </c>
      <c r="J93">
        <f t="shared" si="1"/>
        <v>100</v>
      </c>
    </row>
    <row r="94" spans="1:13" hidden="1">
      <c r="A94" s="6">
        <v>46142</v>
      </c>
      <c r="B94" t="s">
        <v>178</v>
      </c>
      <c r="C94" t="s">
        <v>162</v>
      </c>
      <c r="D94" t="s">
        <v>179</v>
      </c>
      <c r="E94" t="s">
        <v>189</v>
      </c>
      <c r="F94" t="s">
        <v>190</v>
      </c>
      <c r="G94" s="2">
        <v>46142</v>
      </c>
      <c r="H94" t="s">
        <v>18</v>
      </c>
      <c r="I94" s="13" t="s">
        <v>19</v>
      </c>
      <c r="J94">
        <f t="shared" si="1"/>
        <v>100</v>
      </c>
      <c r="K94" t="s">
        <v>191</v>
      </c>
      <c r="M94" s="11" t="s">
        <v>192</v>
      </c>
    </row>
    <row r="95" spans="1:13" hidden="1">
      <c r="A95" s="6">
        <v>46142</v>
      </c>
      <c r="B95" t="s">
        <v>193</v>
      </c>
      <c r="C95" t="s">
        <v>194</v>
      </c>
      <c r="D95" t="s">
        <v>15</v>
      </c>
      <c r="E95" t="s">
        <v>195</v>
      </c>
      <c r="F95" t="s">
        <v>196</v>
      </c>
      <c r="G95" s="2">
        <v>46142</v>
      </c>
      <c r="H95" t="s">
        <v>57</v>
      </c>
      <c r="I95" s="13" t="s">
        <v>19</v>
      </c>
      <c r="J95">
        <f t="shared" si="1"/>
        <v>100</v>
      </c>
      <c r="K95" t="s">
        <v>197</v>
      </c>
    </row>
    <row r="96" spans="1:13" hidden="1">
      <c r="A96" s="6">
        <v>46142</v>
      </c>
      <c r="B96" t="s">
        <v>178</v>
      </c>
      <c r="C96" t="s">
        <v>162</v>
      </c>
      <c r="D96" t="s">
        <v>179</v>
      </c>
      <c r="E96" t="s">
        <v>198</v>
      </c>
      <c r="F96" s="8" t="s">
        <v>199</v>
      </c>
      <c r="G96" s="2">
        <v>46146</v>
      </c>
      <c r="H96" t="s">
        <v>57</v>
      </c>
      <c r="I96" s="13" t="s">
        <v>19</v>
      </c>
      <c r="J96">
        <f t="shared" ref="J96:J97" si="2">IF(I96="Completed",100,IF(I96="Ongoing",50,IF(I96="For Review",75,IF(I96="Delayed",30,0))))</f>
        <v>100</v>
      </c>
      <c r="K96" t="s">
        <v>200</v>
      </c>
      <c r="M96" s="11" t="s">
        <v>201</v>
      </c>
    </row>
    <row r="97" spans="1:13" hidden="1">
      <c r="A97" s="6">
        <v>46142</v>
      </c>
      <c r="B97" t="s">
        <v>202</v>
      </c>
      <c r="C97" t="s">
        <v>203</v>
      </c>
      <c r="D97" t="s">
        <v>176</v>
      </c>
      <c r="E97" t="s">
        <v>167</v>
      </c>
      <c r="F97" t="s">
        <v>204</v>
      </c>
      <c r="G97" s="2">
        <v>46142</v>
      </c>
      <c r="H97" t="s">
        <v>57</v>
      </c>
      <c r="I97" s="13" t="s">
        <v>19</v>
      </c>
      <c r="J97">
        <f t="shared" si="2"/>
        <v>100</v>
      </c>
      <c r="K97" t="s">
        <v>205</v>
      </c>
    </row>
    <row r="98" spans="1:13" ht="15" hidden="1">
      <c r="A98" s="6">
        <v>46142</v>
      </c>
      <c r="B98" s="7" t="s">
        <v>193</v>
      </c>
      <c r="C98" t="s">
        <v>194</v>
      </c>
      <c r="D98" t="s">
        <v>15</v>
      </c>
      <c r="E98" t="s">
        <v>82</v>
      </c>
      <c r="F98" t="s">
        <v>206</v>
      </c>
      <c r="G98" s="2">
        <v>46142</v>
      </c>
      <c r="H98" t="s">
        <v>57</v>
      </c>
      <c r="I98" s="13" t="s">
        <v>19</v>
      </c>
      <c r="J98">
        <f t="shared" si="0"/>
        <v>100</v>
      </c>
      <c r="K98" t="s">
        <v>207</v>
      </c>
    </row>
    <row r="99" spans="1:13" hidden="1">
      <c r="A99" s="6">
        <v>46142</v>
      </c>
      <c r="B99" t="s">
        <v>208</v>
      </c>
      <c r="C99" t="s">
        <v>162</v>
      </c>
      <c r="D99" t="s">
        <v>176</v>
      </c>
      <c r="E99" t="s">
        <v>167</v>
      </c>
      <c r="F99" t="s">
        <v>209</v>
      </c>
      <c r="G99" s="2">
        <v>46143</v>
      </c>
      <c r="H99" t="s">
        <v>18</v>
      </c>
      <c r="I99" s="13" t="s">
        <v>19</v>
      </c>
      <c r="J99">
        <f t="shared" si="0"/>
        <v>100</v>
      </c>
    </row>
    <row r="100" spans="1:13" hidden="1">
      <c r="A100" s="6">
        <v>46142</v>
      </c>
      <c r="B100" t="s">
        <v>178</v>
      </c>
      <c r="C100" t="s">
        <v>162</v>
      </c>
      <c r="D100" t="s">
        <v>179</v>
      </c>
      <c r="E100" t="s">
        <v>210</v>
      </c>
      <c r="F100" t="s">
        <v>211</v>
      </c>
      <c r="G100" s="2">
        <v>46174</v>
      </c>
      <c r="H100" t="s">
        <v>57</v>
      </c>
      <c r="I100" s="13" t="s">
        <v>19</v>
      </c>
      <c r="J100">
        <f t="shared" si="0"/>
        <v>100</v>
      </c>
      <c r="K100" t="s">
        <v>212</v>
      </c>
      <c r="M100" s="11" t="s">
        <v>213</v>
      </c>
    </row>
    <row r="101" spans="1:13" ht="15" hidden="1">
      <c r="A101" s="6">
        <v>46142</v>
      </c>
      <c r="B101" s="7" t="s">
        <v>193</v>
      </c>
      <c r="C101" s="7" t="s">
        <v>194</v>
      </c>
      <c r="D101" t="s">
        <v>15</v>
      </c>
      <c r="E101" t="s">
        <v>82</v>
      </c>
      <c r="F101" t="s">
        <v>214</v>
      </c>
      <c r="G101" s="2">
        <v>46146</v>
      </c>
      <c r="H101" t="s">
        <v>18</v>
      </c>
      <c r="I101" s="13" t="s">
        <v>19</v>
      </c>
      <c r="J101">
        <f t="shared" si="0"/>
        <v>100</v>
      </c>
    </row>
    <row r="102" spans="1:13" ht="13.5" hidden="1" customHeight="1">
      <c r="A102" s="6">
        <v>46142</v>
      </c>
      <c r="B102" t="s">
        <v>156</v>
      </c>
      <c r="C102" t="s">
        <v>157</v>
      </c>
      <c r="D102" t="s">
        <v>15</v>
      </c>
      <c r="E102" t="s">
        <v>82</v>
      </c>
      <c r="F102" t="s">
        <v>215</v>
      </c>
      <c r="G102" s="2">
        <v>46142</v>
      </c>
      <c r="H102" t="s">
        <v>18</v>
      </c>
      <c r="I102" s="13" t="s">
        <v>19</v>
      </c>
      <c r="J102">
        <f t="shared" si="0"/>
        <v>100</v>
      </c>
    </row>
    <row r="103" spans="1:13" hidden="1">
      <c r="A103" s="6">
        <v>46146</v>
      </c>
      <c r="B103" t="s">
        <v>202</v>
      </c>
      <c r="C103" t="s">
        <v>203</v>
      </c>
      <c r="D103" t="s">
        <v>176</v>
      </c>
      <c r="E103" t="s">
        <v>216</v>
      </c>
      <c r="F103" t="s">
        <v>217</v>
      </c>
      <c r="G103" s="2">
        <v>46146</v>
      </c>
      <c r="H103" t="s">
        <v>57</v>
      </c>
      <c r="I103" s="13" t="s">
        <v>19</v>
      </c>
      <c r="J103">
        <f t="shared" si="0"/>
        <v>100</v>
      </c>
    </row>
    <row r="104" spans="1:13" hidden="1">
      <c r="A104" s="6">
        <v>46142</v>
      </c>
      <c r="B104" t="s">
        <v>218</v>
      </c>
      <c r="C104" t="s">
        <v>162</v>
      </c>
      <c r="D104" t="s">
        <v>163</v>
      </c>
      <c r="E104" s="5" t="s">
        <v>219</v>
      </c>
      <c r="F104" s="5" t="s">
        <v>220</v>
      </c>
      <c r="G104" s="2">
        <v>46142</v>
      </c>
      <c r="H104" t="s">
        <v>57</v>
      </c>
      <c r="I104" s="13" t="s">
        <v>19</v>
      </c>
      <c r="J104">
        <f t="shared" si="0"/>
        <v>100</v>
      </c>
      <c r="K104" t="s">
        <v>221</v>
      </c>
    </row>
    <row r="105" spans="1:13" hidden="1">
      <c r="A105" s="6">
        <v>46142</v>
      </c>
      <c r="B105" t="s">
        <v>222</v>
      </c>
      <c r="C105" t="s">
        <v>162</v>
      </c>
      <c r="D105" t="s">
        <v>179</v>
      </c>
      <c r="E105" t="s">
        <v>223</v>
      </c>
      <c r="F105" t="s">
        <v>224</v>
      </c>
      <c r="G105" s="2">
        <v>46167</v>
      </c>
      <c r="H105" t="s">
        <v>18</v>
      </c>
      <c r="I105" s="13" t="s">
        <v>19</v>
      </c>
      <c r="J105">
        <f t="shared" si="0"/>
        <v>100</v>
      </c>
      <c r="M105" s="11" t="s">
        <v>225</v>
      </c>
    </row>
    <row r="106" spans="1:13" hidden="1">
      <c r="A106" s="6">
        <v>46142</v>
      </c>
      <c r="B106" t="s">
        <v>218</v>
      </c>
      <c r="C106" t="s">
        <v>162</v>
      </c>
      <c r="D106" t="s">
        <v>163</v>
      </c>
      <c r="E106" t="s">
        <v>226</v>
      </c>
      <c r="F106" t="s">
        <v>227</v>
      </c>
      <c r="G106" s="2">
        <v>46142</v>
      </c>
      <c r="H106" t="s">
        <v>57</v>
      </c>
      <c r="I106" s="13" t="s">
        <v>19</v>
      </c>
      <c r="J106">
        <f t="shared" si="0"/>
        <v>100</v>
      </c>
      <c r="K106" t="s">
        <v>228</v>
      </c>
    </row>
    <row r="107" spans="1:13" hidden="1">
      <c r="A107" s="6">
        <v>46142</v>
      </c>
      <c r="B107" t="s">
        <v>22</v>
      </c>
      <c r="C107" t="s">
        <v>23</v>
      </c>
      <c r="D107" t="s">
        <v>15</v>
      </c>
      <c r="E107" t="s">
        <v>229</v>
      </c>
      <c r="F107" t="s">
        <v>230</v>
      </c>
      <c r="G107" s="2">
        <v>46142</v>
      </c>
      <c r="H107" t="s">
        <v>57</v>
      </c>
      <c r="I107" s="13" t="s">
        <v>19</v>
      </c>
      <c r="J107">
        <f t="shared" si="0"/>
        <v>100</v>
      </c>
    </row>
    <row r="108" spans="1:13" hidden="1">
      <c r="A108" s="6">
        <v>46142</v>
      </c>
      <c r="B108" t="s">
        <v>193</v>
      </c>
      <c r="C108" t="s">
        <v>231</v>
      </c>
      <c r="D108" t="s">
        <v>15</v>
      </c>
      <c r="E108" t="s">
        <v>232</v>
      </c>
      <c r="F108" t="s">
        <v>233</v>
      </c>
      <c r="G108" s="2">
        <v>46143</v>
      </c>
      <c r="H108" t="s">
        <v>18</v>
      </c>
      <c r="I108" s="13" t="s">
        <v>19</v>
      </c>
      <c r="J108">
        <f t="shared" si="0"/>
        <v>100</v>
      </c>
    </row>
    <row r="109" spans="1:13" hidden="1">
      <c r="A109" s="6">
        <v>46142</v>
      </c>
      <c r="B109" t="s">
        <v>234</v>
      </c>
      <c r="C109" t="s">
        <v>162</v>
      </c>
      <c r="D109" t="s">
        <v>176</v>
      </c>
      <c r="E109" t="s">
        <v>235</v>
      </c>
      <c r="F109" t="s">
        <v>236</v>
      </c>
      <c r="G109" s="2">
        <v>46142</v>
      </c>
      <c r="H109" t="s">
        <v>57</v>
      </c>
      <c r="I109" s="13" t="s">
        <v>19</v>
      </c>
      <c r="J109">
        <f t="shared" si="0"/>
        <v>100</v>
      </c>
    </row>
    <row r="110" spans="1:13" hidden="1">
      <c r="A110" s="6">
        <v>46142</v>
      </c>
      <c r="B110" t="s">
        <v>170</v>
      </c>
      <c r="C110" t="s">
        <v>171</v>
      </c>
      <c r="D110" t="s">
        <v>15</v>
      </c>
      <c r="E110" t="s">
        <v>237</v>
      </c>
      <c r="F110" t="s">
        <v>238</v>
      </c>
      <c r="G110" s="6">
        <v>46142</v>
      </c>
      <c r="H110" t="s">
        <v>18</v>
      </c>
      <c r="I110" s="13" t="s">
        <v>19</v>
      </c>
      <c r="J110">
        <f t="shared" si="0"/>
        <v>100</v>
      </c>
    </row>
    <row r="111" spans="1:13" hidden="1">
      <c r="A111" s="6">
        <v>46142</v>
      </c>
      <c r="B111" t="s">
        <v>38</v>
      </c>
      <c r="C111" t="s">
        <v>39</v>
      </c>
      <c r="D111" t="s">
        <v>15</v>
      </c>
      <c r="E111" t="s">
        <v>40</v>
      </c>
      <c r="F111" t="s">
        <v>41</v>
      </c>
      <c r="G111" s="2">
        <v>46142</v>
      </c>
      <c r="H111" t="s">
        <v>18</v>
      </c>
      <c r="I111" s="13" t="s">
        <v>19</v>
      </c>
      <c r="J111">
        <f t="shared" si="0"/>
        <v>100</v>
      </c>
    </row>
    <row r="112" spans="1:13" hidden="1">
      <c r="A112" s="6">
        <v>46142</v>
      </c>
      <c r="B112" t="s">
        <v>170</v>
      </c>
      <c r="C112" t="s">
        <v>171</v>
      </c>
      <c r="D112" t="s">
        <v>15</v>
      </c>
      <c r="E112" t="s">
        <v>237</v>
      </c>
      <c r="F112" t="s">
        <v>239</v>
      </c>
      <c r="G112" s="6">
        <v>46142</v>
      </c>
      <c r="H112" t="s">
        <v>18</v>
      </c>
      <c r="I112" s="13" t="s">
        <v>19</v>
      </c>
      <c r="J112">
        <f t="shared" si="0"/>
        <v>100</v>
      </c>
    </row>
    <row r="113" spans="1:13" hidden="1">
      <c r="A113" s="6">
        <v>46142</v>
      </c>
      <c r="B113" t="s">
        <v>26</v>
      </c>
      <c r="C113" t="s">
        <v>23</v>
      </c>
      <c r="D113" t="s">
        <v>15</v>
      </c>
      <c r="E113" t="s">
        <v>240</v>
      </c>
      <c r="F113" t="s">
        <v>241</v>
      </c>
      <c r="G113" s="2">
        <v>46142</v>
      </c>
      <c r="H113" t="s">
        <v>57</v>
      </c>
      <c r="I113" s="13" t="s">
        <v>19</v>
      </c>
      <c r="J113">
        <f t="shared" si="0"/>
        <v>100</v>
      </c>
    </row>
    <row r="114" spans="1:13" ht="15.75" hidden="1">
      <c r="A114" s="6">
        <v>46142</v>
      </c>
      <c r="B114" t="s">
        <v>242</v>
      </c>
      <c r="C114" t="s">
        <v>243</v>
      </c>
      <c r="D114" t="s">
        <v>179</v>
      </c>
      <c r="E114" t="s">
        <v>244</v>
      </c>
      <c r="F114" s="9" t="s">
        <v>245</v>
      </c>
      <c r="G114" s="2">
        <v>46152</v>
      </c>
      <c r="H114" t="s">
        <v>18</v>
      </c>
      <c r="I114" s="13" t="s">
        <v>19</v>
      </c>
      <c r="J114">
        <f t="shared" si="0"/>
        <v>100</v>
      </c>
      <c r="K114" t="s">
        <v>246</v>
      </c>
    </row>
    <row r="115" spans="1:13" hidden="1">
      <c r="A115" s="6">
        <v>46142</v>
      </c>
      <c r="B115" s="8" t="s">
        <v>222</v>
      </c>
      <c r="C115" t="s">
        <v>162</v>
      </c>
      <c r="D115" t="s">
        <v>179</v>
      </c>
      <c r="E115" t="s">
        <v>247</v>
      </c>
      <c r="F115" t="s">
        <v>248</v>
      </c>
      <c r="G115" s="2">
        <v>46167</v>
      </c>
      <c r="H115" t="s">
        <v>18</v>
      </c>
      <c r="I115" s="13" t="s">
        <v>19</v>
      </c>
      <c r="J115">
        <f t="shared" si="0"/>
        <v>100</v>
      </c>
      <c r="M115" s="11" t="s">
        <v>249</v>
      </c>
    </row>
    <row r="116" spans="1:13" hidden="1">
      <c r="A116" s="6">
        <v>46142</v>
      </c>
      <c r="B116" t="s">
        <v>250</v>
      </c>
      <c r="C116" t="s">
        <v>162</v>
      </c>
      <c r="D116" t="s">
        <v>166</v>
      </c>
      <c r="E116" t="s">
        <v>226</v>
      </c>
      <c r="F116" t="s">
        <v>251</v>
      </c>
      <c r="G116" s="2">
        <v>46142</v>
      </c>
      <c r="H116" t="s">
        <v>18</v>
      </c>
      <c r="I116" s="13" t="s">
        <v>19</v>
      </c>
      <c r="J116">
        <f t="shared" si="0"/>
        <v>100</v>
      </c>
    </row>
    <row r="117" spans="1:13" hidden="1">
      <c r="A117" s="6">
        <v>46142</v>
      </c>
      <c r="B117" t="s">
        <v>184</v>
      </c>
      <c r="C117" t="s">
        <v>162</v>
      </c>
      <c r="D117" t="s">
        <v>176</v>
      </c>
      <c r="E117" t="s">
        <v>226</v>
      </c>
      <c r="F117" t="s">
        <v>252</v>
      </c>
      <c r="G117" s="2">
        <v>46150</v>
      </c>
      <c r="H117" t="s">
        <v>57</v>
      </c>
      <c r="I117" s="13" t="s">
        <v>19</v>
      </c>
      <c r="J117">
        <f t="shared" si="0"/>
        <v>100</v>
      </c>
    </row>
    <row r="118" spans="1:13" hidden="1">
      <c r="A118" s="6">
        <v>46142</v>
      </c>
      <c r="B118" t="s">
        <v>184</v>
      </c>
      <c r="C118" t="s">
        <v>162</v>
      </c>
      <c r="D118" t="s">
        <v>176</v>
      </c>
      <c r="E118" t="s">
        <v>82</v>
      </c>
      <c r="F118" t="s">
        <v>253</v>
      </c>
      <c r="G118" s="2">
        <v>46142</v>
      </c>
      <c r="H118" t="s">
        <v>57</v>
      </c>
      <c r="I118" s="13" t="s">
        <v>19</v>
      </c>
      <c r="J118">
        <f t="shared" si="0"/>
        <v>100</v>
      </c>
    </row>
    <row r="119" spans="1:13" hidden="1">
      <c r="A119" s="6">
        <v>46142</v>
      </c>
      <c r="B119" t="s">
        <v>178</v>
      </c>
      <c r="C119" t="s">
        <v>162</v>
      </c>
      <c r="D119" t="s">
        <v>179</v>
      </c>
      <c r="E119" t="s">
        <v>254</v>
      </c>
      <c r="F119" t="s">
        <v>255</v>
      </c>
      <c r="G119" s="2">
        <v>46144</v>
      </c>
      <c r="H119" t="s">
        <v>18</v>
      </c>
      <c r="I119" s="13" t="s">
        <v>19</v>
      </c>
      <c r="J119">
        <f t="shared" si="0"/>
        <v>100</v>
      </c>
      <c r="K119" t="s">
        <v>256</v>
      </c>
      <c r="M119" s="11" t="s">
        <v>257</v>
      </c>
    </row>
    <row r="120" spans="1:13" hidden="1">
      <c r="A120" s="6">
        <v>46142</v>
      </c>
      <c r="B120" t="s">
        <v>178</v>
      </c>
      <c r="C120" t="s">
        <v>162</v>
      </c>
      <c r="D120" t="s">
        <v>179</v>
      </c>
      <c r="E120" t="s">
        <v>258</v>
      </c>
      <c r="F120" t="s">
        <v>259</v>
      </c>
      <c r="G120" s="2">
        <v>46167</v>
      </c>
      <c r="H120" t="s">
        <v>18</v>
      </c>
      <c r="I120" s="13" t="s">
        <v>19</v>
      </c>
      <c r="J120">
        <f t="shared" si="0"/>
        <v>100</v>
      </c>
    </row>
    <row r="121" spans="1:13" hidden="1">
      <c r="A121" s="6">
        <v>46142</v>
      </c>
      <c r="B121" t="s">
        <v>222</v>
      </c>
      <c r="C121" t="s">
        <v>162</v>
      </c>
      <c r="D121" t="s">
        <v>179</v>
      </c>
      <c r="E121" t="s">
        <v>254</v>
      </c>
      <c r="F121" t="s">
        <v>255</v>
      </c>
      <c r="G121" s="2">
        <v>46144</v>
      </c>
      <c r="H121" t="s">
        <v>18</v>
      </c>
      <c r="I121" s="13" t="s">
        <v>19</v>
      </c>
      <c r="J121">
        <f t="shared" si="0"/>
        <v>100</v>
      </c>
    </row>
    <row r="122" spans="1:13" hidden="1">
      <c r="A122" s="6">
        <v>46142</v>
      </c>
      <c r="B122" t="s">
        <v>260</v>
      </c>
      <c r="C122" t="s">
        <v>162</v>
      </c>
      <c r="D122" t="s">
        <v>179</v>
      </c>
      <c r="E122" t="s">
        <v>226</v>
      </c>
      <c r="F122" t="s">
        <v>261</v>
      </c>
      <c r="G122" s="2">
        <v>46142</v>
      </c>
      <c r="H122" t="s">
        <v>57</v>
      </c>
      <c r="I122" s="13" t="s">
        <v>19</v>
      </c>
      <c r="J122">
        <f t="shared" si="0"/>
        <v>100</v>
      </c>
      <c r="K122" t="s">
        <v>262</v>
      </c>
    </row>
    <row r="123" spans="1:13" ht="15" hidden="1">
      <c r="A123" s="6">
        <v>46142</v>
      </c>
      <c r="B123" t="s">
        <v>170</v>
      </c>
      <c r="C123" t="s">
        <v>171</v>
      </c>
      <c r="D123" t="s">
        <v>15</v>
      </c>
      <c r="E123" t="s">
        <v>82</v>
      </c>
      <c r="F123" s="10" t="s">
        <v>263</v>
      </c>
      <c r="G123" s="6">
        <v>46142</v>
      </c>
      <c r="H123" t="s">
        <v>57</v>
      </c>
      <c r="I123" s="13" t="s">
        <v>19</v>
      </c>
      <c r="J123">
        <f t="shared" si="0"/>
        <v>100</v>
      </c>
    </row>
    <row r="124" spans="1:13" hidden="1">
      <c r="A124" s="6">
        <v>46142</v>
      </c>
      <c r="B124" t="s">
        <v>26</v>
      </c>
      <c r="C124" t="s">
        <v>23</v>
      </c>
      <c r="D124" t="s">
        <v>15</v>
      </c>
      <c r="E124" t="s">
        <v>264</v>
      </c>
      <c r="F124" t="s">
        <v>265</v>
      </c>
      <c r="G124" s="2">
        <v>46142</v>
      </c>
      <c r="H124" t="s">
        <v>57</v>
      </c>
      <c r="I124" s="13" t="s">
        <v>19</v>
      </c>
      <c r="J124">
        <f t="shared" si="0"/>
        <v>100</v>
      </c>
    </row>
    <row r="125" spans="1:13" hidden="1">
      <c r="A125" s="6">
        <v>46142</v>
      </c>
      <c r="B125" t="s">
        <v>266</v>
      </c>
      <c r="C125" t="s">
        <v>162</v>
      </c>
      <c r="D125" t="s">
        <v>176</v>
      </c>
      <c r="E125" t="s">
        <v>226</v>
      </c>
      <c r="F125" t="s">
        <v>267</v>
      </c>
      <c r="G125" s="2">
        <v>46142</v>
      </c>
      <c r="H125" t="s">
        <v>57</v>
      </c>
      <c r="I125" s="13" t="s">
        <v>19</v>
      </c>
      <c r="J125">
        <f t="shared" si="0"/>
        <v>100</v>
      </c>
      <c r="K125" s="12" t="s">
        <v>228</v>
      </c>
      <c r="L125" s="12"/>
      <c r="M125" s="14" t="s">
        <v>268</v>
      </c>
    </row>
    <row r="126" spans="1:13" hidden="1">
      <c r="A126" s="6">
        <v>46142</v>
      </c>
      <c r="B126" t="s">
        <v>165</v>
      </c>
      <c r="C126" t="s">
        <v>162</v>
      </c>
      <c r="D126" t="s">
        <v>166</v>
      </c>
      <c r="E126" t="s">
        <v>269</v>
      </c>
      <c r="F126" t="s">
        <v>270</v>
      </c>
      <c r="G126" s="2">
        <v>46142</v>
      </c>
      <c r="H126" t="s">
        <v>57</v>
      </c>
      <c r="I126" s="13" t="s">
        <v>19</v>
      </c>
      <c r="J126">
        <f t="shared" si="0"/>
        <v>100</v>
      </c>
    </row>
    <row r="127" spans="1:13" ht="15" hidden="1">
      <c r="A127" s="6">
        <v>46142</v>
      </c>
      <c r="B127" s="7" t="s">
        <v>193</v>
      </c>
      <c r="C127" t="s">
        <v>271</v>
      </c>
      <c r="D127" t="s">
        <v>15</v>
      </c>
      <c r="E127" t="s">
        <v>272</v>
      </c>
      <c r="F127" t="s">
        <v>273</v>
      </c>
      <c r="G127" s="2">
        <v>46142</v>
      </c>
      <c r="H127" t="s">
        <v>57</v>
      </c>
      <c r="I127" s="13" t="s">
        <v>19</v>
      </c>
      <c r="J127">
        <f t="shared" si="0"/>
        <v>100</v>
      </c>
    </row>
    <row r="128" spans="1:13" hidden="1">
      <c r="A128" s="6">
        <v>46142</v>
      </c>
      <c r="B128" t="s">
        <v>222</v>
      </c>
      <c r="C128" t="s">
        <v>162</v>
      </c>
      <c r="D128" t="s">
        <v>179</v>
      </c>
      <c r="E128" t="s">
        <v>226</v>
      </c>
      <c r="F128" t="s">
        <v>274</v>
      </c>
      <c r="G128" s="2">
        <v>46142</v>
      </c>
      <c r="H128" t="s">
        <v>57</v>
      </c>
      <c r="I128" s="13" t="s">
        <v>19</v>
      </c>
      <c r="J128">
        <f t="shared" si="0"/>
        <v>100</v>
      </c>
    </row>
    <row r="129" spans="1:31" hidden="1">
      <c r="A129" s="6">
        <v>46142</v>
      </c>
      <c r="B129" t="s">
        <v>170</v>
      </c>
      <c r="C129" t="s">
        <v>171</v>
      </c>
      <c r="D129" t="s">
        <v>15</v>
      </c>
      <c r="E129" t="s">
        <v>237</v>
      </c>
      <c r="F129" t="s">
        <v>275</v>
      </c>
      <c r="G129" s="6">
        <v>46142</v>
      </c>
      <c r="H129" t="s">
        <v>18</v>
      </c>
      <c r="I129" s="13" t="s">
        <v>19</v>
      </c>
      <c r="J129">
        <f t="shared" si="0"/>
        <v>100</v>
      </c>
    </row>
    <row r="130" spans="1:31" hidden="1">
      <c r="A130" s="6">
        <v>46142</v>
      </c>
      <c r="B130" t="s">
        <v>170</v>
      </c>
      <c r="C130" t="s">
        <v>171</v>
      </c>
      <c r="D130" t="s">
        <v>15</v>
      </c>
      <c r="E130" t="s">
        <v>237</v>
      </c>
      <c r="F130" t="s">
        <v>276</v>
      </c>
      <c r="G130" s="6">
        <v>46142</v>
      </c>
      <c r="H130" t="s">
        <v>57</v>
      </c>
      <c r="I130" s="13" t="s">
        <v>19</v>
      </c>
      <c r="J130">
        <f t="shared" si="0"/>
        <v>100</v>
      </c>
    </row>
    <row r="131" spans="1:31" hidden="1">
      <c r="A131" s="6">
        <v>46142</v>
      </c>
      <c r="B131" t="s">
        <v>266</v>
      </c>
      <c r="C131" t="s">
        <v>162</v>
      </c>
      <c r="D131" t="s">
        <v>176</v>
      </c>
      <c r="E131" t="s">
        <v>226</v>
      </c>
      <c r="F131" t="s">
        <v>277</v>
      </c>
      <c r="G131" s="2">
        <v>46142</v>
      </c>
      <c r="H131" t="s">
        <v>57</v>
      </c>
      <c r="I131" s="13" t="s">
        <v>19</v>
      </c>
      <c r="J131">
        <f t="shared" si="0"/>
        <v>100</v>
      </c>
      <c r="K131" s="12" t="s">
        <v>228</v>
      </c>
      <c r="L131" s="12"/>
      <c r="M131" s="11" t="s">
        <v>268</v>
      </c>
    </row>
    <row r="132" spans="1:31" hidden="1">
      <c r="A132" s="6">
        <v>46142</v>
      </c>
      <c r="B132" t="s">
        <v>26</v>
      </c>
      <c r="C132" t="s">
        <v>23</v>
      </c>
      <c r="D132" t="s">
        <v>15</v>
      </c>
      <c r="E132" t="s">
        <v>278</v>
      </c>
      <c r="F132" t="s">
        <v>279</v>
      </c>
      <c r="G132" s="2">
        <v>46142</v>
      </c>
      <c r="H132" t="s">
        <v>18</v>
      </c>
      <c r="I132" s="13" t="s">
        <v>19</v>
      </c>
      <c r="J132">
        <f t="shared" si="0"/>
        <v>100</v>
      </c>
    </row>
    <row r="133" spans="1:31" hidden="1">
      <c r="A133" s="6">
        <v>46142</v>
      </c>
      <c r="B133" t="s">
        <v>22</v>
      </c>
      <c r="C133" t="s">
        <v>23</v>
      </c>
      <c r="D133" t="s">
        <v>15</v>
      </c>
      <c r="E133" t="s">
        <v>159</v>
      </c>
      <c r="F133" t="s">
        <v>280</v>
      </c>
      <c r="G133" s="3" t="s">
        <v>281</v>
      </c>
      <c r="H133" t="s">
        <v>18</v>
      </c>
      <c r="I133" s="13" t="s">
        <v>19</v>
      </c>
      <c r="J133">
        <f t="shared" si="0"/>
        <v>100</v>
      </c>
    </row>
    <row r="134" spans="1:31" hidden="1">
      <c r="A134" s="6">
        <v>46142</v>
      </c>
      <c r="B134" t="s">
        <v>170</v>
      </c>
      <c r="C134" t="s">
        <v>171</v>
      </c>
      <c r="D134" t="s">
        <v>15</v>
      </c>
      <c r="E134" t="s">
        <v>237</v>
      </c>
      <c r="F134" t="s">
        <v>282</v>
      </c>
      <c r="G134" s="6">
        <v>46142</v>
      </c>
      <c r="H134" t="s">
        <v>18</v>
      </c>
      <c r="I134" s="13" t="s">
        <v>19</v>
      </c>
      <c r="J134">
        <f t="shared" si="0"/>
        <v>100</v>
      </c>
    </row>
    <row r="135" spans="1:31" hidden="1">
      <c r="A135" s="6">
        <v>46142</v>
      </c>
      <c r="B135" t="s">
        <v>283</v>
      </c>
      <c r="C135" t="s">
        <v>162</v>
      </c>
      <c r="D135" t="s">
        <v>176</v>
      </c>
      <c r="E135" t="s">
        <v>284</v>
      </c>
      <c r="F135" t="s">
        <v>285</v>
      </c>
      <c r="G135" s="2">
        <v>46142</v>
      </c>
      <c r="H135" t="s">
        <v>18</v>
      </c>
      <c r="I135" s="13" t="s">
        <v>19</v>
      </c>
      <c r="J135">
        <f t="shared" si="0"/>
        <v>100</v>
      </c>
      <c r="K135" t="s">
        <v>286</v>
      </c>
      <c r="M135" s="11" t="s">
        <v>287</v>
      </c>
    </row>
    <row r="136" spans="1:31" hidden="1">
      <c r="A136" s="6">
        <v>46144</v>
      </c>
      <c r="B136" s="16" t="s">
        <v>218</v>
      </c>
      <c r="C136" t="s">
        <v>162</v>
      </c>
      <c r="D136" t="s">
        <v>163</v>
      </c>
      <c r="E136" t="s">
        <v>219</v>
      </c>
      <c r="F136" t="s">
        <v>288</v>
      </c>
      <c r="G136" s="2">
        <v>46142</v>
      </c>
      <c r="H136" t="s">
        <v>57</v>
      </c>
      <c r="I136" s="13" t="s">
        <v>19</v>
      </c>
      <c r="J136">
        <f t="shared" si="0"/>
        <v>100</v>
      </c>
    </row>
    <row r="137" spans="1:31" hidden="1">
      <c r="A137" s="6">
        <v>46144</v>
      </c>
      <c r="B137" t="s">
        <v>234</v>
      </c>
      <c r="C137" t="s">
        <v>162</v>
      </c>
      <c r="D137" t="s">
        <v>176</v>
      </c>
      <c r="E137" t="s">
        <v>226</v>
      </c>
      <c r="F137" t="s">
        <v>289</v>
      </c>
      <c r="G137" s="2">
        <v>46144</v>
      </c>
      <c r="H137" t="s">
        <v>57</v>
      </c>
      <c r="I137" s="13" t="s">
        <v>19</v>
      </c>
      <c r="J137">
        <f t="shared" ref="J137:J200" si="3">IF(I137="Completed",100,IF(I137="Ongoing",50,IF(I137="For Review",75,IF(I137="Delayed",30,0))))</f>
        <v>100</v>
      </c>
    </row>
    <row r="138" spans="1:31" hidden="1">
      <c r="A138" s="6">
        <v>46144</v>
      </c>
      <c r="B138" t="s">
        <v>290</v>
      </c>
      <c r="C138" t="s">
        <v>162</v>
      </c>
      <c r="D138" t="s">
        <v>176</v>
      </c>
      <c r="E138" t="s">
        <v>219</v>
      </c>
      <c r="F138" t="s">
        <v>291</v>
      </c>
      <c r="G138" s="2">
        <v>46144</v>
      </c>
      <c r="H138" t="s">
        <v>57</v>
      </c>
      <c r="I138" s="13" t="s">
        <v>19</v>
      </c>
      <c r="J138">
        <f t="shared" si="3"/>
        <v>100</v>
      </c>
    </row>
    <row r="139" spans="1:31" hidden="1">
      <c r="A139" s="6">
        <v>46144</v>
      </c>
      <c r="B139" s="8" t="s">
        <v>292</v>
      </c>
      <c r="C139" t="s">
        <v>162</v>
      </c>
      <c r="D139" t="s">
        <v>176</v>
      </c>
      <c r="E139" t="s">
        <v>226</v>
      </c>
      <c r="F139" t="s">
        <v>293</v>
      </c>
      <c r="G139" s="2">
        <v>46144</v>
      </c>
      <c r="H139" t="s">
        <v>57</v>
      </c>
      <c r="I139" s="13" t="s">
        <v>19</v>
      </c>
      <c r="J139">
        <f t="shared" si="3"/>
        <v>100</v>
      </c>
    </row>
    <row r="140" spans="1:31" hidden="1">
      <c r="A140" s="6">
        <v>46144</v>
      </c>
      <c r="B140" t="s">
        <v>290</v>
      </c>
      <c r="C140" t="s">
        <v>162</v>
      </c>
      <c r="D140" t="s">
        <v>176</v>
      </c>
      <c r="E140" t="s">
        <v>226</v>
      </c>
      <c r="F140" t="s">
        <v>294</v>
      </c>
      <c r="G140" s="2">
        <v>46144</v>
      </c>
      <c r="H140" t="s">
        <v>57</v>
      </c>
      <c r="I140" s="13" t="s">
        <v>19</v>
      </c>
      <c r="J140">
        <f t="shared" si="3"/>
        <v>100</v>
      </c>
    </row>
    <row r="141" spans="1:31" hidden="1">
      <c r="A141" s="6">
        <v>46146</v>
      </c>
      <c r="B141" t="s">
        <v>222</v>
      </c>
      <c r="C141" t="s">
        <v>162</v>
      </c>
      <c r="D141" t="s">
        <v>179</v>
      </c>
      <c r="E141" t="s">
        <v>226</v>
      </c>
      <c r="F141" t="s">
        <v>295</v>
      </c>
      <c r="G141" s="2">
        <v>46146</v>
      </c>
      <c r="H141" t="s">
        <v>57</v>
      </c>
      <c r="I141" s="13" t="s">
        <v>19</v>
      </c>
      <c r="J141">
        <f t="shared" si="3"/>
        <v>100</v>
      </c>
    </row>
    <row r="142" spans="1:31" hidden="1">
      <c r="A142" s="6">
        <v>46146</v>
      </c>
      <c r="B142" t="s">
        <v>222</v>
      </c>
      <c r="C142" t="s">
        <v>162</v>
      </c>
      <c r="D142" t="s">
        <v>179</v>
      </c>
      <c r="E142" t="s">
        <v>223</v>
      </c>
      <c r="F142" t="s">
        <v>296</v>
      </c>
      <c r="G142" s="2">
        <v>46171</v>
      </c>
      <c r="H142" t="s">
        <v>18</v>
      </c>
      <c r="I142" t="s">
        <v>19</v>
      </c>
      <c r="J142">
        <f t="shared" si="3"/>
        <v>100</v>
      </c>
      <c r="M142" s="11" t="s">
        <v>297</v>
      </c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 spans="1:31" hidden="1">
      <c r="A143" s="6">
        <v>46146</v>
      </c>
      <c r="B143" t="s">
        <v>222</v>
      </c>
      <c r="C143" t="s">
        <v>162</v>
      </c>
      <c r="D143" t="s">
        <v>179</v>
      </c>
      <c r="E143" t="s">
        <v>298</v>
      </c>
      <c r="F143" t="s">
        <v>299</v>
      </c>
      <c r="G143" s="2">
        <v>46146</v>
      </c>
      <c r="H143" t="s">
        <v>57</v>
      </c>
      <c r="I143" s="13" t="s">
        <v>19</v>
      </c>
      <c r="J143">
        <f t="shared" si="3"/>
        <v>100</v>
      </c>
    </row>
    <row r="144" spans="1:31" hidden="1">
      <c r="A144" s="6">
        <v>46146</v>
      </c>
      <c r="B144" t="s">
        <v>300</v>
      </c>
      <c r="C144" t="s">
        <v>162</v>
      </c>
      <c r="D144" t="s">
        <v>163</v>
      </c>
      <c r="E144" t="s">
        <v>301</v>
      </c>
      <c r="F144" t="s">
        <v>299</v>
      </c>
      <c r="G144" s="2">
        <v>46146</v>
      </c>
      <c r="H144" t="s">
        <v>18</v>
      </c>
      <c r="I144" s="13" t="s">
        <v>19</v>
      </c>
      <c r="J144">
        <f t="shared" si="3"/>
        <v>100</v>
      </c>
    </row>
    <row r="145" spans="1:11" hidden="1">
      <c r="A145" s="6">
        <v>46146</v>
      </c>
      <c r="B145" t="s">
        <v>178</v>
      </c>
      <c r="C145" t="s">
        <v>162</v>
      </c>
      <c r="D145" t="s">
        <v>179</v>
      </c>
      <c r="E145" t="s">
        <v>198</v>
      </c>
      <c r="F145" t="s">
        <v>302</v>
      </c>
      <c r="G145" s="2">
        <v>46146</v>
      </c>
      <c r="H145" t="s">
        <v>18</v>
      </c>
      <c r="I145" s="13" t="s">
        <v>19</v>
      </c>
      <c r="J145">
        <f t="shared" si="3"/>
        <v>100</v>
      </c>
      <c r="K145" t="s">
        <v>303</v>
      </c>
    </row>
    <row r="146" spans="1:11" hidden="1">
      <c r="A146" s="6">
        <v>46146</v>
      </c>
      <c r="B146" t="s">
        <v>178</v>
      </c>
      <c r="C146" t="s">
        <v>162</v>
      </c>
      <c r="D146" t="s">
        <v>179</v>
      </c>
      <c r="E146" t="s">
        <v>304</v>
      </c>
      <c r="F146" t="s">
        <v>305</v>
      </c>
      <c r="G146" s="2">
        <v>46146</v>
      </c>
      <c r="H146" t="s">
        <v>57</v>
      </c>
      <c r="I146" s="13" t="s">
        <v>19</v>
      </c>
      <c r="J146">
        <f t="shared" si="3"/>
        <v>100</v>
      </c>
      <c r="K146" t="s">
        <v>303</v>
      </c>
    </row>
    <row r="147" spans="1:11" hidden="1">
      <c r="A147" s="6">
        <v>46146</v>
      </c>
      <c r="B147" t="s">
        <v>178</v>
      </c>
      <c r="C147" t="s">
        <v>162</v>
      </c>
      <c r="D147" t="s">
        <v>179</v>
      </c>
      <c r="E147" t="s">
        <v>226</v>
      </c>
      <c r="F147" t="s">
        <v>306</v>
      </c>
      <c r="G147" s="2">
        <v>46146</v>
      </c>
      <c r="H147" t="s">
        <v>57</v>
      </c>
      <c r="I147" s="13" t="s">
        <v>19</v>
      </c>
      <c r="J147">
        <f t="shared" si="3"/>
        <v>100</v>
      </c>
      <c r="K147" t="s">
        <v>307</v>
      </c>
    </row>
    <row r="148" spans="1:11" hidden="1">
      <c r="A148" s="6">
        <v>46146</v>
      </c>
      <c r="B148" t="s">
        <v>178</v>
      </c>
      <c r="C148" t="s">
        <v>162</v>
      </c>
      <c r="D148" t="s">
        <v>179</v>
      </c>
      <c r="E148" t="s">
        <v>226</v>
      </c>
      <c r="F148" t="s">
        <v>308</v>
      </c>
      <c r="G148" s="2">
        <v>46146</v>
      </c>
      <c r="H148" t="s">
        <v>57</v>
      </c>
      <c r="I148" s="13" t="s">
        <v>19</v>
      </c>
      <c r="J148">
        <f t="shared" si="3"/>
        <v>100</v>
      </c>
      <c r="K148" t="s">
        <v>309</v>
      </c>
    </row>
    <row r="149" spans="1:11" hidden="1">
      <c r="A149" s="6">
        <v>46146</v>
      </c>
      <c r="B149" t="s">
        <v>178</v>
      </c>
      <c r="C149" t="s">
        <v>162</v>
      </c>
      <c r="D149" t="s">
        <v>179</v>
      </c>
      <c r="E149" t="s">
        <v>198</v>
      </c>
      <c r="F149" t="s">
        <v>310</v>
      </c>
      <c r="G149" s="2">
        <v>46146</v>
      </c>
      <c r="H149" t="s">
        <v>18</v>
      </c>
      <c r="I149" s="13" t="s">
        <v>19</v>
      </c>
      <c r="J149">
        <f t="shared" si="3"/>
        <v>100</v>
      </c>
      <c r="K149" t="s">
        <v>309</v>
      </c>
    </row>
    <row r="150" spans="1:11" hidden="1">
      <c r="A150" s="6">
        <v>46146</v>
      </c>
      <c r="B150" t="s">
        <v>311</v>
      </c>
      <c r="C150" t="s">
        <v>162</v>
      </c>
      <c r="D150" t="s">
        <v>163</v>
      </c>
      <c r="E150" t="s">
        <v>226</v>
      </c>
      <c r="F150" t="s">
        <v>312</v>
      </c>
      <c r="G150" s="2">
        <v>46146</v>
      </c>
      <c r="H150" t="s">
        <v>57</v>
      </c>
      <c r="I150" s="13" t="s">
        <v>19</v>
      </c>
      <c r="J150">
        <f t="shared" si="3"/>
        <v>100</v>
      </c>
    </row>
    <row r="151" spans="1:11" hidden="1">
      <c r="A151" s="6">
        <v>46146</v>
      </c>
      <c r="B151" t="s">
        <v>311</v>
      </c>
      <c r="C151" t="s">
        <v>162</v>
      </c>
      <c r="D151" t="s">
        <v>163</v>
      </c>
      <c r="E151" t="s">
        <v>226</v>
      </c>
      <c r="F151" t="s">
        <v>313</v>
      </c>
      <c r="G151" s="2">
        <v>46146</v>
      </c>
      <c r="H151" t="s">
        <v>57</v>
      </c>
      <c r="I151" s="13" t="s">
        <v>19</v>
      </c>
      <c r="J151">
        <f t="shared" si="3"/>
        <v>100</v>
      </c>
    </row>
    <row r="152" spans="1:11" hidden="1">
      <c r="A152" s="6">
        <v>46146</v>
      </c>
      <c r="B152" t="s">
        <v>186</v>
      </c>
      <c r="C152" t="s">
        <v>162</v>
      </c>
      <c r="D152" t="s">
        <v>166</v>
      </c>
      <c r="E152" t="s">
        <v>226</v>
      </c>
      <c r="F152" t="s">
        <v>314</v>
      </c>
      <c r="G152" s="2">
        <v>46146</v>
      </c>
      <c r="H152" t="s">
        <v>57</v>
      </c>
      <c r="I152" s="13" t="s">
        <v>19</v>
      </c>
      <c r="J152">
        <f t="shared" si="3"/>
        <v>100</v>
      </c>
    </row>
    <row r="153" spans="1:11" hidden="1">
      <c r="A153" s="6">
        <v>46146</v>
      </c>
      <c r="B153" t="s">
        <v>186</v>
      </c>
      <c r="C153" t="s">
        <v>162</v>
      </c>
      <c r="D153" t="s">
        <v>166</v>
      </c>
      <c r="E153" t="s">
        <v>301</v>
      </c>
      <c r="F153" t="s">
        <v>299</v>
      </c>
      <c r="G153" s="2">
        <v>46146</v>
      </c>
      <c r="H153" t="s">
        <v>57</v>
      </c>
      <c r="I153" s="13" t="s">
        <v>19</v>
      </c>
      <c r="J153">
        <f t="shared" si="3"/>
        <v>100</v>
      </c>
    </row>
    <row r="154" spans="1:11" hidden="1">
      <c r="A154" s="6">
        <v>46146</v>
      </c>
      <c r="B154" t="s">
        <v>165</v>
      </c>
      <c r="C154" t="s">
        <v>162</v>
      </c>
      <c r="D154" t="s">
        <v>166</v>
      </c>
      <c r="E154" t="s">
        <v>315</v>
      </c>
      <c r="F154" t="s">
        <v>316</v>
      </c>
      <c r="G154" s="2">
        <v>46146</v>
      </c>
      <c r="H154" t="s">
        <v>57</v>
      </c>
      <c r="I154" s="13" t="s">
        <v>19</v>
      </c>
      <c r="J154">
        <f t="shared" si="3"/>
        <v>100</v>
      </c>
    </row>
    <row r="155" spans="1:11" hidden="1">
      <c r="A155" s="6">
        <v>46146</v>
      </c>
      <c r="B155" t="s">
        <v>165</v>
      </c>
      <c r="C155" t="s">
        <v>162</v>
      </c>
      <c r="D155" t="s">
        <v>166</v>
      </c>
      <c r="E155" t="s">
        <v>301</v>
      </c>
      <c r="F155" t="s">
        <v>317</v>
      </c>
      <c r="G155" s="2">
        <v>46146</v>
      </c>
      <c r="H155" t="s">
        <v>57</v>
      </c>
      <c r="I155" s="13" t="s">
        <v>19</v>
      </c>
      <c r="J155">
        <f t="shared" si="3"/>
        <v>100</v>
      </c>
    </row>
    <row r="156" spans="1:11" hidden="1">
      <c r="A156" s="6">
        <v>46146</v>
      </c>
      <c r="B156" t="s">
        <v>165</v>
      </c>
      <c r="C156" t="s">
        <v>162</v>
      </c>
      <c r="D156" t="s">
        <v>166</v>
      </c>
      <c r="E156" t="s">
        <v>226</v>
      </c>
      <c r="F156" t="s">
        <v>318</v>
      </c>
      <c r="G156" s="2">
        <v>46146</v>
      </c>
      <c r="H156" t="s">
        <v>57</v>
      </c>
      <c r="I156" s="13" t="s">
        <v>19</v>
      </c>
      <c r="J156">
        <f t="shared" si="3"/>
        <v>100</v>
      </c>
    </row>
    <row r="157" spans="1:11" hidden="1">
      <c r="A157" s="6">
        <v>46146</v>
      </c>
      <c r="B157" t="s">
        <v>165</v>
      </c>
      <c r="C157" t="s">
        <v>162</v>
      </c>
      <c r="D157" t="s">
        <v>166</v>
      </c>
      <c r="E157" t="s">
        <v>226</v>
      </c>
      <c r="F157" t="s">
        <v>319</v>
      </c>
      <c r="G157" s="2">
        <v>46146</v>
      </c>
      <c r="H157" t="s">
        <v>57</v>
      </c>
      <c r="I157" s="13" t="s">
        <v>19</v>
      </c>
      <c r="J157">
        <f t="shared" si="3"/>
        <v>100</v>
      </c>
    </row>
    <row r="158" spans="1:11" hidden="1">
      <c r="A158" s="6">
        <v>46146</v>
      </c>
      <c r="B158" t="s">
        <v>165</v>
      </c>
      <c r="C158" t="s">
        <v>162</v>
      </c>
      <c r="D158" t="s">
        <v>166</v>
      </c>
      <c r="E158" t="s">
        <v>226</v>
      </c>
      <c r="F158" t="s">
        <v>320</v>
      </c>
      <c r="G158" s="2">
        <v>46146</v>
      </c>
      <c r="H158" t="s">
        <v>57</v>
      </c>
      <c r="I158" s="13" t="s">
        <v>19</v>
      </c>
      <c r="J158">
        <f t="shared" si="3"/>
        <v>100</v>
      </c>
    </row>
    <row r="159" spans="1:11" hidden="1">
      <c r="A159" s="6">
        <v>46146</v>
      </c>
      <c r="B159" t="s">
        <v>266</v>
      </c>
      <c r="C159" t="s">
        <v>162</v>
      </c>
      <c r="D159" t="s">
        <v>176</v>
      </c>
      <c r="E159" t="s">
        <v>315</v>
      </c>
      <c r="F159" t="s">
        <v>321</v>
      </c>
      <c r="G159" s="2">
        <v>46146</v>
      </c>
      <c r="H159" t="s">
        <v>57</v>
      </c>
      <c r="I159" s="13" t="s">
        <v>19</v>
      </c>
      <c r="J159">
        <f t="shared" si="3"/>
        <v>100</v>
      </c>
    </row>
    <row r="160" spans="1:11" hidden="1">
      <c r="A160" s="6">
        <v>46146</v>
      </c>
      <c r="B160" t="s">
        <v>184</v>
      </c>
      <c r="C160" t="s">
        <v>162</v>
      </c>
      <c r="D160" t="s">
        <v>176</v>
      </c>
      <c r="E160" t="s">
        <v>226</v>
      </c>
      <c r="F160" t="s">
        <v>322</v>
      </c>
      <c r="G160" s="2">
        <v>46146</v>
      </c>
      <c r="H160" t="s">
        <v>57</v>
      </c>
      <c r="I160" s="13" t="s">
        <v>19</v>
      </c>
      <c r="J160">
        <f t="shared" si="3"/>
        <v>100</v>
      </c>
    </row>
    <row r="161" spans="1:13" hidden="1">
      <c r="A161" s="6">
        <v>46146</v>
      </c>
      <c r="B161" t="s">
        <v>184</v>
      </c>
      <c r="C161" t="s">
        <v>162</v>
      </c>
      <c r="D161" t="s">
        <v>176</v>
      </c>
      <c r="E161" t="s">
        <v>301</v>
      </c>
      <c r="F161" t="s">
        <v>316</v>
      </c>
      <c r="G161" s="2">
        <v>46146</v>
      </c>
      <c r="H161" t="s">
        <v>57</v>
      </c>
      <c r="I161" s="13" t="s">
        <v>19</v>
      </c>
      <c r="J161">
        <f t="shared" si="3"/>
        <v>100</v>
      </c>
    </row>
    <row r="162" spans="1:13" hidden="1">
      <c r="A162" s="6">
        <v>46146</v>
      </c>
      <c r="B162" t="s">
        <v>323</v>
      </c>
      <c r="C162" t="s">
        <v>23</v>
      </c>
      <c r="D162" t="s">
        <v>15</v>
      </c>
      <c r="E162" t="s">
        <v>324</v>
      </c>
      <c r="F162" t="s">
        <v>325</v>
      </c>
      <c r="G162" s="2">
        <v>46146</v>
      </c>
      <c r="H162" t="s">
        <v>57</v>
      </c>
      <c r="I162" s="13" t="s">
        <v>19</v>
      </c>
      <c r="J162">
        <f t="shared" si="3"/>
        <v>100</v>
      </c>
    </row>
    <row r="163" spans="1:13" hidden="1">
      <c r="A163" s="6">
        <v>46146</v>
      </c>
      <c r="B163" t="s">
        <v>326</v>
      </c>
      <c r="C163" t="s">
        <v>327</v>
      </c>
      <c r="D163" t="s">
        <v>176</v>
      </c>
      <c r="E163" t="s">
        <v>328</v>
      </c>
      <c r="F163" t="s">
        <v>329</v>
      </c>
      <c r="G163" s="2">
        <v>46146</v>
      </c>
      <c r="H163" t="s">
        <v>18</v>
      </c>
      <c r="I163" s="13" t="s">
        <v>19</v>
      </c>
      <c r="J163">
        <f t="shared" si="3"/>
        <v>100</v>
      </c>
    </row>
    <row r="164" spans="1:13" hidden="1">
      <c r="A164" s="6">
        <v>46146</v>
      </c>
      <c r="B164" t="s">
        <v>234</v>
      </c>
      <c r="C164" t="s">
        <v>162</v>
      </c>
      <c r="D164" t="s">
        <v>176</v>
      </c>
      <c r="E164" t="s">
        <v>330</v>
      </c>
      <c r="F164" t="s">
        <v>331</v>
      </c>
      <c r="G164" s="2">
        <v>46146</v>
      </c>
      <c r="H164" t="s">
        <v>57</v>
      </c>
      <c r="I164" s="13" t="s">
        <v>19</v>
      </c>
      <c r="J164">
        <f t="shared" si="3"/>
        <v>100</v>
      </c>
    </row>
    <row r="165" spans="1:13" hidden="1">
      <c r="A165" s="6">
        <v>46146</v>
      </c>
      <c r="B165" t="s">
        <v>332</v>
      </c>
      <c r="C165" t="s">
        <v>23</v>
      </c>
      <c r="D165" t="s">
        <v>15</v>
      </c>
      <c r="E165" t="s">
        <v>333</v>
      </c>
      <c r="F165" t="s">
        <v>334</v>
      </c>
      <c r="G165" s="2">
        <v>46146</v>
      </c>
      <c r="H165" t="s">
        <v>57</v>
      </c>
      <c r="I165" s="13" t="s">
        <v>19</v>
      </c>
      <c r="J165">
        <f t="shared" si="3"/>
        <v>100</v>
      </c>
    </row>
    <row r="166" spans="1:13" hidden="1">
      <c r="A166" s="6">
        <v>46146</v>
      </c>
      <c r="B166" t="s">
        <v>323</v>
      </c>
      <c r="C166" t="s">
        <v>23</v>
      </c>
      <c r="D166" t="s">
        <v>15</v>
      </c>
      <c r="E166" t="s">
        <v>335</v>
      </c>
      <c r="F166" t="s">
        <v>336</v>
      </c>
      <c r="G166" s="2">
        <v>46146</v>
      </c>
      <c r="H166" t="s">
        <v>57</v>
      </c>
      <c r="I166" s="13" t="s">
        <v>19</v>
      </c>
      <c r="J166">
        <f t="shared" si="3"/>
        <v>100</v>
      </c>
    </row>
    <row r="167" spans="1:13" hidden="1">
      <c r="A167" s="6">
        <v>46146</v>
      </c>
      <c r="B167" t="s">
        <v>290</v>
      </c>
      <c r="C167" t="s">
        <v>162</v>
      </c>
      <c r="D167" t="s">
        <v>176</v>
      </c>
      <c r="E167" t="s">
        <v>337</v>
      </c>
      <c r="F167" t="s">
        <v>338</v>
      </c>
      <c r="G167" s="2">
        <v>46146</v>
      </c>
      <c r="H167" t="s">
        <v>18</v>
      </c>
      <c r="I167" s="13" t="s">
        <v>19</v>
      </c>
      <c r="J167">
        <f t="shared" si="3"/>
        <v>100</v>
      </c>
    </row>
    <row r="168" spans="1:13" hidden="1">
      <c r="A168" s="6">
        <v>46146</v>
      </c>
      <c r="B168" t="s">
        <v>242</v>
      </c>
      <c r="C168" t="s">
        <v>339</v>
      </c>
      <c r="D168" t="s">
        <v>340</v>
      </c>
      <c r="E168" t="s">
        <v>226</v>
      </c>
      <c r="F168" t="s">
        <v>341</v>
      </c>
      <c r="G168" s="2">
        <v>46146</v>
      </c>
      <c r="H168" t="s">
        <v>18</v>
      </c>
      <c r="I168" s="13" t="s">
        <v>19</v>
      </c>
      <c r="J168">
        <f t="shared" si="3"/>
        <v>100</v>
      </c>
      <c r="M168" s="15" t="s">
        <v>342</v>
      </c>
    </row>
    <row r="169" spans="1:13" hidden="1">
      <c r="A169" s="6">
        <v>46146</v>
      </c>
      <c r="B169" t="s">
        <v>343</v>
      </c>
      <c r="C169" t="s">
        <v>39</v>
      </c>
      <c r="D169" t="s">
        <v>15</v>
      </c>
      <c r="E169" t="s">
        <v>40</v>
      </c>
      <c r="F169" t="s">
        <v>41</v>
      </c>
      <c r="G169" s="2">
        <v>46146</v>
      </c>
      <c r="H169" t="s">
        <v>18</v>
      </c>
      <c r="I169" s="13" t="s">
        <v>19</v>
      </c>
      <c r="J169">
        <f t="shared" si="3"/>
        <v>100</v>
      </c>
    </row>
    <row r="170" spans="1:13" hidden="1">
      <c r="A170" s="6">
        <v>46146</v>
      </c>
      <c r="B170" t="s">
        <v>344</v>
      </c>
      <c r="C170" t="s">
        <v>271</v>
      </c>
      <c r="D170" t="s">
        <v>15</v>
      </c>
      <c r="E170" t="s">
        <v>272</v>
      </c>
      <c r="F170" t="s">
        <v>345</v>
      </c>
      <c r="G170" s="2">
        <v>46146</v>
      </c>
      <c r="H170" t="s">
        <v>57</v>
      </c>
      <c r="I170" s="13" t="s">
        <v>19</v>
      </c>
      <c r="J170">
        <f t="shared" si="3"/>
        <v>100</v>
      </c>
    </row>
    <row r="171" spans="1:13" hidden="1">
      <c r="A171" s="6">
        <v>46146</v>
      </c>
      <c r="B171" t="s">
        <v>346</v>
      </c>
      <c r="C171" t="s">
        <v>157</v>
      </c>
      <c r="D171" t="s">
        <v>15</v>
      </c>
      <c r="E171" t="s">
        <v>82</v>
      </c>
      <c r="F171" t="s">
        <v>347</v>
      </c>
      <c r="G171" s="2">
        <v>46146</v>
      </c>
      <c r="H171" t="s">
        <v>18</v>
      </c>
      <c r="I171" s="13" t="s">
        <v>19</v>
      </c>
      <c r="J171">
        <f t="shared" si="3"/>
        <v>100</v>
      </c>
    </row>
    <row r="172" spans="1:13" hidden="1">
      <c r="A172" s="6">
        <v>46146</v>
      </c>
      <c r="B172" t="s">
        <v>346</v>
      </c>
      <c r="C172" t="s">
        <v>157</v>
      </c>
      <c r="D172" t="s">
        <v>15</v>
      </c>
      <c r="E172" t="s">
        <v>82</v>
      </c>
      <c r="F172" t="s">
        <v>348</v>
      </c>
      <c r="G172" s="2">
        <v>46146</v>
      </c>
      <c r="H172" t="s">
        <v>57</v>
      </c>
      <c r="I172" s="13" t="s">
        <v>19</v>
      </c>
      <c r="J172">
        <f t="shared" si="3"/>
        <v>100</v>
      </c>
    </row>
    <row r="173" spans="1:13" hidden="1">
      <c r="A173" s="6">
        <v>46146</v>
      </c>
      <c r="B173" t="s">
        <v>349</v>
      </c>
      <c r="C173" t="s">
        <v>23</v>
      </c>
      <c r="D173" t="s">
        <v>15</v>
      </c>
      <c r="E173" t="s">
        <v>350</v>
      </c>
      <c r="F173" t="s">
        <v>351</v>
      </c>
      <c r="G173" s="2">
        <v>46146</v>
      </c>
      <c r="H173" t="s">
        <v>57</v>
      </c>
      <c r="I173" s="13" t="s">
        <v>19</v>
      </c>
      <c r="J173">
        <f t="shared" si="3"/>
        <v>100</v>
      </c>
    </row>
    <row r="174" spans="1:13" hidden="1">
      <c r="A174" s="6">
        <v>46146</v>
      </c>
      <c r="B174" t="s">
        <v>292</v>
      </c>
      <c r="C174" t="s">
        <v>203</v>
      </c>
      <c r="D174" t="s">
        <v>176</v>
      </c>
      <c r="E174" t="s">
        <v>352</v>
      </c>
      <c r="F174" t="s">
        <v>353</v>
      </c>
      <c r="G174" s="2">
        <v>46146</v>
      </c>
      <c r="H174" t="s">
        <v>18</v>
      </c>
      <c r="I174" s="13" t="s">
        <v>19</v>
      </c>
      <c r="J174">
        <f t="shared" si="3"/>
        <v>100</v>
      </c>
    </row>
    <row r="175" spans="1:13" hidden="1">
      <c r="A175" s="6">
        <v>46146</v>
      </c>
      <c r="B175" t="s">
        <v>292</v>
      </c>
      <c r="C175" t="s">
        <v>203</v>
      </c>
      <c r="D175" t="s">
        <v>176</v>
      </c>
      <c r="E175" t="s">
        <v>315</v>
      </c>
      <c r="F175" t="s">
        <v>354</v>
      </c>
      <c r="G175" s="2">
        <v>46144</v>
      </c>
      <c r="H175" t="s">
        <v>57</v>
      </c>
      <c r="I175" s="13" t="s">
        <v>19</v>
      </c>
      <c r="J175">
        <f t="shared" si="3"/>
        <v>100</v>
      </c>
    </row>
    <row r="176" spans="1:13" hidden="1">
      <c r="A176" s="6">
        <v>46146</v>
      </c>
      <c r="B176" t="s">
        <v>290</v>
      </c>
      <c r="C176" t="s">
        <v>162</v>
      </c>
      <c r="D176" t="s">
        <v>176</v>
      </c>
      <c r="E176" t="s">
        <v>226</v>
      </c>
      <c r="F176" t="s">
        <v>355</v>
      </c>
      <c r="G176" s="2">
        <v>46146</v>
      </c>
      <c r="H176" t="s">
        <v>57</v>
      </c>
      <c r="I176" s="13" t="s">
        <v>19</v>
      </c>
      <c r="J176">
        <f t="shared" si="3"/>
        <v>100</v>
      </c>
    </row>
    <row r="177" spans="1:13" hidden="1">
      <c r="A177" s="6">
        <v>46146</v>
      </c>
      <c r="B177" t="s">
        <v>184</v>
      </c>
      <c r="C177" t="s">
        <v>162</v>
      </c>
      <c r="D177" t="s">
        <v>176</v>
      </c>
      <c r="E177" t="s">
        <v>356</v>
      </c>
      <c r="F177" t="s">
        <v>357</v>
      </c>
      <c r="G177" s="2">
        <v>46146</v>
      </c>
      <c r="H177" t="s">
        <v>57</v>
      </c>
      <c r="I177" s="13" t="s">
        <v>19</v>
      </c>
      <c r="J177">
        <f t="shared" si="3"/>
        <v>100</v>
      </c>
    </row>
    <row r="178" spans="1:13">
      <c r="A178" s="6">
        <v>46146</v>
      </c>
      <c r="B178" t="s">
        <v>300</v>
      </c>
      <c r="C178" t="s">
        <v>162</v>
      </c>
      <c r="D178" t="s">
        <v>163</v>
      </c>
      <c r="E178" t="s">
        <v>358</v>
      </c>
      <c r="F178" t="s">
        <v>359</v>
      </c>
      <c r="G178" s="2">
        <v>46146</v>
      </c>
      <c r="H178" t="s">
        <v>57</v>
      </c>
      <c r="I178" t="s">
        <v>51</v>
      </c>
      <c r="J178">
        <f t="shared" si="3"/>
        <v>50</v>
      </c>
    </row>
    <row r="179" spans="1:13" hidden="1">
      <c r="A179" s="6">
        <v>46146</v>
      </c>
      <c r="B179" t="s">
        <v>170</v>
      </c>
      <c r="C179" t="s">
        <v>171</v>
      </c>
      <c r="D179" t="s">
        <v>15</v>
      </c>
      <c r="E179" t="s">
        <v>360</v>
      </c>
      <c r="F179" t="s">
        <v>361</v>
      </c>
      <c r="G179" s="6">
        <v>46146</v>
      </c>
      <c r="H179" t="s">
        <v>57</v>
      </c>
      <c r="I179" s="13" t="s">
        <v>19</v>
      </c>
      <c r="J179">
        <f t="shared" si="3"/>
        <v>100</v>
      </c>
    </row>
    <row r="180" spans="1:13" hidden="1">
      <c r="A180" s="6">
        <v>46146</v>
      </c>
      <c r="B180" t="s">
        <v>170</v>
      </c>
      <c r="C180" t="s">
        <v>171</v>
      </c>
      <c r="D180" t="s">
        <v>15</v>
      </c>
      <c r="E180" t="s">
        <v>362</v>
      </c>
      <c r="F180" t="s">
        <v>363</v>
      </c>
      <c r="G180" s="6">
        <v>46146</v>
      </c>
      <c r="H180" t="s">
        <v>57</v>
      </c>
      <c r="I180" s="13" t="s">
        <v>19</v>
      </c>
      <c r="J180">
        <f t="shared" si="3"/>
        <v>100</v>
      </c>
    </row>
    <row r="181" spans="1:13" ht="15" hidden="1">
      <c r="A181" s="6">
        <v>46146</v>
      </c>
      <c r="B181" t="s">
        <v>170</v>
      </c>
      <c r="C181" t="s">
        <v>171</v>
      </c>
      <c r="D181" t="s">
        <v>15</v>
      </c>
      <c r="E181" s="10" t="s">
        <v>59</v>
      </c>
      <c r="F181" t="s">
        <v>364</v>
      </c>
      <c r="G181" s="6">
        <v>46146</v>
      </c>
      <c r="H181" t="s">
        <v>57</v>
      </c>
      <c r="I181" s="13" t="s">
        <v>19</v>
      </c>
      <c r="J181">
        <f t="shared" si="3"/>
        <v>100</v>
      </c>
    </row>
    <row r="182" spans="1:13" hidden="1">
      <c r="A182" s="6">
        <v>46146</v>
      </c>
      <c r="B182" t="s">
        <v>266</v>
      </c>
      <c r="C182" t="s">
        <v>203</v>
      </c>
      <c r="D182" t="s">
        <v>176</v>
      </c>
      <c r="E182" t="s">
        <v>365</v>
      </c>
      <c r="F182" t="s">
        <v>366</v>
      </c>
      <c r="G182" s="2">
        <v>46146</v>
      </c>
      <c r="H182" t="s">
        <v>57</v>
      </c>
      <c r="I182" s="13" t="s">
        <v>19</v>
      </c>
      <c r="J182">
        <f t="shared" si="3"/>
        <v>100</v>
      </c>
    </row>
    <row r="183" spans="1:13" hidden="1">
      <c r="A183" s="6">
        <v>46146</v>
      </c>
      <c r="B183" t="s">
        <v>367</v>
      </c>
      <c r="C183" t="s">
        <v>162</v>
      </c>
      <c r="D183" t="s">
        <v>176</v>
      </c>
      <c r="E183" t="s">
        <v>368</v>
      </c>
      <c r="F183" t="s">
        <v>369</v>
      </c>
      <c r="G183" s="2">
        <v>46146</v>
      </c>
      <c r="H183" t="s">
        <v>57</v>
      </c>
      <c r="I183" s="13" t="s">
        <v>19</v>
      </c>
      <c r="J183">
        <f t="shared" si="3"/>
        <v>100</v>
      </c>
    </row>
    <row r="184" spans="1:13" hidden="1">
      <c r="A184" s="6">
        <v>46146</v>
      </c>
      <c r="B184" t="s">
        <v>367</v>
      </c>
      <c r="C184" t="s">
        <v>162</v>
      </c>
      <c r="D184" t="s">
        <v>176</v>
      </c>
      <c r="E184" t="s">
        <v>368</v>
      </c>
      <c r="F184" t="s">
        <v>370</v>
      </c>
      <c r="G184" s="2">
        <v>46146</v>
      </c>
      <c r="H184" t="s">
        <v>57</v>
      </c>
      <c r="I184" s="13" t="s">
        <v>19</v>
      </c>
      <c r="J184">
        <f t="shared" si="3"/>
        <v>100</v>
      </c>
    </row>
    <row r="185" spans="1:13" hidden="1">
      <c r="A185" s="6">
        <v>46116</v>
      </c>
      <c r="B185" t="s">
        <v>184</v>
      </c>
      <c r="C185" t="s">
        <v>162</v>
      </c>
      <c r="D185" t="s">
        <v>176</v>
      </c>
      <c r="E185" t="s">
        <v>226</v>
      </c>
      <c r="F185" t="s">
        <v>371</v>
      </c>
      <c r="G185" s="2">
        <v>46146</v>
      </c>
      <c r="H185" t="s">
        <v>57</v>
      </c>
      <c r="I185" s="13" t="s">
        <v>19</v>
      </c>
      <c r="J185">
        <f t="shared" si="3"/>
        <v>100</v>
      </c>
    </row>
    <row r="186" spans="1:13" hidden="1">
      <c r="A186" s="6">
        <v>46146</v>
      </c>
      <c r="B186" t="s">
        <v>222</v>
      </c>
      <c r="C186" t="s">
        <v>162</v>
      </c>
      <c r="D186" t="s">
        <v>179</v>
      </c>
      <c r="E186" t="s">
        <v>372</v>
      </c>
      <c r="F186" t="s">
        <v>373</v>
      </c>
      <c r="G186" s="2">
        <v>46146</v>
      </c>
      <c r="H186" t="s">
        <v>18</v>
      </c>
      <c r="I186" s="13" t="s">
        <v>19</v>
      </c>
      <c r="J186">
        <f t="shared" si="3"/>
        <v>100</v>
      </c>
      <c r="K186">
        <v>5</v>
      </c>
      <c r="M186" s="11" t="s">
        <v>374</v>
      </c>
    </row>
    <row r="187" spans="1:13" hidden="1">
      <c r="A187" s="6">
        <v>46146</v>
      </c>
      <c r="B187" t="s">
        <v>283</v>
      </c>
      <c r="C187" t="s">
        <v>162</v>
      </c>
      <c r="D187" t="s">
        <v>176</v>
      </c>
      <c r="E187" t="s">
        <v>375</v>
      </c>
      <c r="F187" t="s">
        <v>373</v>
      </c>
      <c r="G187" s="2">
        <v>46146</v>
      </c>
      <c r="H187" t="s">
        <v>18</v>
      </c>
      <c r="I187" s="13" t="s">
        <v>19</v>
      </c>
      <c r="J187">
        <f t="shared" si="3"/>
        <v>100</v>
      </c>
    </row>
    <row r="188" spans="1:13" hidden="1">
      <c r="A188" s="6">
        <v>46146</v>
      </c>
      <c r="B188" t="s">
        <v>323</v>
      </c>
      <c r="C188" t="s">
        <v>23</v>
      </c>
      <c r="D188" t="s">
        <v>15</v>
      </c>
      <c r="E188" t="s">
        <v>376</v>
      </c>
      <c r="F188" t="s">
        <v>377</v>
      </c>
      <c r="G188" s="2">
        <v>46146</v>
      </c>
      <c r="H188" t="s">
        <v>57</v>
      </c>
      <c r="I188" s="13" t="s">
        <v>19</v>
      </c>
      <c r="J188">
        <f t="shared" si="3"/>
        <v>100</v>
      </c>
    </row>
    <row r="189" spans="1:13" hidden="1">
      <c r="A189" s="6">
        <v>46147</v>
      </c>
      <c r="B189" t="s">
        <v>186</v>
      </c>
      <c r="C189" t="s">
        <v>162</v>
      </c>
      <c r="D189" t="s">
        <v>166</v>
      </c>
      <c r="E189" t="s">
        <v>378</v>
      </c>
      <c r="F189" t="s">
        <v>379</v>
      </c>
      <c r="G189" s="2">
        <v>46147</v>
      </c>
      <c r="H189" t="s">
        <v>57</v>
      </c>
      <c r="I189" s="13" t="s">
        <v>19</v>
      </c>
      <c r="J189">
        <f t="shared" si="3"/>
        <v>100</v>
      </c>
    </row>
    <row r="190" spans="1:13" hidden="1">
      <c r="A190" s="6">
        <v>46147</v>
      </c>
      <c r="B190" t="s">
        <v>186</v>
      </c>
      <c r="C190" t="s">
        <v>162</v>
      </c>
      <c r="D190" t="s">
        <v>166</v>
      </c>
      <c r="E190" t="s">
        <v>380</v>
      </c>
      <c r="F190" t="s">
        <v>381</v>
      </c>
      <c r="G190" s="2">
        <v>46147</v>
      </c>
      <c r="H190" t="s">
        <v>57</v>
      </c>
      <c r="I190" s="13" t="s">
        <v>19</v>
      </c>
      <c r="J190">
        <f t="shared" si="3"/>
        <v>100</v>
      </c>
    </row>
    <row r="191" spans="1:13" hidden="1">
      <c r="A191" s="6">
        <v>46147</v>
      </c>
      <c r="B191" t="s">
        <v>186</v>
      </c>
      <c r="C191" t="s">
        <v>162</v>
      </c>
      <c r="D191" t="s">
        <v>166</v>
      </c>
      <c r="E191" t="s">
        <v>380</v>
      </c>
      <c r="F191" t="s">
        <v>382</v>
      </c>
      <c r="G191" s="2">
        <v>46147</v>
      </c>
      <c r="H191" t="s">
        <v>57</v>
      </c>
      <c r="I191" s="13" t="s">
        <v>19</v>
      </c>
      <c r="J191">
        <f t="shared" si="3"/>
        <v>100</v>
      </c>
    </row>
    <row r="192" spans="1:13" hidden="1">
      <c r="A192" s="6">
        <v>46147</v>
      </c>
      <c r="B192" t="s">
        <v>178</v>
      </c>
      <c r="C192" t="s">
        <v>162</v>
      </c>
      <c r="D192" t="s">
        <v>179</v>
      </c>
      <c r="E192" t="s">
        <v>383</v>
      </c>
      <c r="F192" t="s">
        <v>384</v>
      </c>
      <c r="G192" s="2">
        <v>46147</v>
      </c>
      <c r="H192" t="s">
        <v>57</v>
      </c>
      <c r="I192" s="13" t="s">
        <v>19</v>
      </c>
      <c r="J192">
        <f t="shared" si="3"/>
        <v>100</v>
      </c>
      <c r="K192" t="s">
        <v>307</v>
      </c>
    </row>
    <row r="193" spans="1:11" hidden="1">
      <c r="A193" s="6">
        <v>46147</v>
      </c>
      <c r="B193" t="s">
        <v>178</v>
      </c>
      <c r="C193" t="s">
        <v>162</v>
      </c>
      <c r="D193" t="s">
        <v>179</v>
      </c>
      <c r="E193" t="s">
        <v>383</v>
      </c>
      <c r="F193" t="s">
        <v>385</v>
      </c>
      <c r="G193" s="2">
        <v>46147</v>
      </c>
      <c r="H193" t="s">
        <v>57</v>
      </c>
      <c r="I193" s="13" t="s">
        <v>19</v>
      </c>
      <c r="J193">
        <f t="shared" si="3"/>
        <v>100</v>
      </c>
      <c r="K193" t="s">
        <v>386</v>
      </c>
    </row>
    <row r="194" spans="1:11" hidden="1">
      <c r="A194" s="6">
        <v>46147</v>
      </c>
      <c r="B194" t="s">
        <v>178</v>
      </c>
      <c r="C194" t="s">
        <v>162</v>
      </c>
      <c r="D194" t="s">
        <v>179</v>
      </c>
      <c r="E194" t="s">
        <v>301</v>
      </c>
      <c r="F194" t="s">
        <v>316</v>
      </c>
      <c r="G194" s="2">
        <v>46147</v>
      </c>
      <c r="H194" t="s">
        <v>57</v>
      </c>
      <c r="I194" s="13" t="s">
        <v>19</v>
      </c>
      <c r="J194">
        <f t="shared" si="3"/>
        <v>100</v>
      </c>
    </row>
    <row r="195" spans="1:11" hidden="1">
      <c r="A195" s="6">
        <v>46147</v>
      </c>
      <c r="B195" t="s">
        <v>178</v>
      </c>
      <c r="C195" t="s">
        <v>162</v>
      </c>
      <c r="D195" t="s">
        <v>179</v>
      </c>
      <c r="E195" t="s">
        <v>387</v>
      </c>
      <c r="F195" t="s">
        <v>388</v>
      </c>
      <c r="G195" s="2">
        <v>46147</v>
      </c>
      <c r="H195" t="s">
        <v>57</v>
      </c>
      <c r="I195" s="13" t="s">
        <v>19</v>
      </c>
      <c r="J195">
        <f t="shared" si="3"/>
        <v>100</v>
      </c>
    </row>
    <row r="196" spans="1:11" hidden="1">
      <c r="A196" s="6">
        <v>46147</v>
      </c>
      <c r="B196" t="s">
        <v>389</v>
      </c>
      <c r="C196" t="s">
        <v>271</v>
      </c>
      <c r="D196" t="s">
        <v>15</v>
      </c>
      <c r="E196" t="s">
        <v>82</v>
      </c>
      <c r="F196" t="s">
        <v>390</v>
      </c>
      <c r="G196" s="6">
        <v>46147</v>
      </c>
      <c r="H196" t="s">
        <v>57</v>
      </c>
      <c r="I196" s="13" t="s">
        <v>19</v>
      </c>
      <c r="J196">
        <f t="shared" si="3"/>
        <v>100</v>
      </c>
    </row>
    <row r="197" spans="1:11" hidden="1">
      <c r="A197" s="6">
        <v>46147</v>
      </c>
      <c r="B197" t="s">
        <v>389</v>
      </c>
      <c r="C197" t="s">
        <v>271</v>
      </c>
      <c r="D197" t="s">
        <v>15</v>
      </c>
      <c r="E197" t="s">
        <v>391</v>
      </c>
      <c r="F197" t="s">
        <v>392</v>
      </c>
      <c r="G197" s="2">
        <v>46147</v>
      </c>
      <c r="H197" t="s">
        <v>18</v>
      </c>
      <c r="I197" s="13" t="s">
        <v>19</v>
      </c>
      <c r="J197">
        <f t="shared" si="3"/>
        <v>100</v>
      </c>
    </row>
    <row r="198" spans="1:11" hidden="1">
      <c r="A198" s="6">
        <v>46147</v>
      </c>
      <c r="B198" t="s">
        <v>343</v>
      </c>
      <c r="C198" t="s">
        <v>39</v>
      </c>
      <c r="D198" t="s">
        <v>15</v>
      </c>
      <c r="E198" t="s">
        <v>40</v>
      </c>
      <c r="F198" t="s">
        <v>41</v>
      </c>
      <c r="G198" s="2">
        <v>46147</v>
      </c>
      <c r="H198" t="s">
        <v>18</v>
      </c>
      <c r="I198" s="13" t="s">
        <v>19</v>
      </c>
      <c r="J198">
        <f t="shared" si="3"/>
        <v>100</v>
      </c>
    </row>
    <row r="199" spans="1:11" hidden="1">
      <c r="A199" s="6">
        <v>46147</v>
      </c>
      <c r="B199" t="s">
        <v>283</v>
      </c>
      <c r="C199" t="s">
        <v>162</v>
      </c>
      <c r="D199" t="s">
        <v>176</v>
      </c>
      <c r="E199" t="s">
        <v>393</v>
      </c>
      <c r="F199" t="s">
        <v>394</v>
      </c>
      <c r="G199" s="2">
        <v>46147</v>
      </c>
      <c r="H199" t="s">
        <v>18</v>
      </c>
      <c r="I199" s="13" t="s">
        <v>19</v>
      </c>
      <c r="J199">
        <f t="shared" si="3"/>
        <v>100</v>
      </c>
    </row>
    <row r="200" spans="1:11" hidden="1">
      <c r="A200" s="6">
        <v>46147</v>
      </c>
      <c r="B200" t="s">
        <v>283</v>
      </c>
      <c r="C200" t="s">
        <v>162</v>
      </c>
      <c r="D200" t="s">
        <v>176</v>
      </c>
      <c r="E200" t="s">
        <v>395</v>
      </c>
      <c r="F200" t="s">
        <v>396</v>
      </c>
      <c r="G200" s="2">
        <v>46147</v>
      </c>
      <c r="H200" t="s">
        <v>57</v>
      </c>
      <c r="I200" s="13" t="s">
        <v>19</v>
      </c>
      <c r="J200">
        <f t="shared" si="3"/>
        <v>100</v>
      </c>
    </row>
    <row r="201" spans="1:11" hidden="1">
      <c r="A201" s="6">
        <v>46147</v>
      </c>
      <c r="B201" t="s">
        <v>397</v>
      </c>
      <c r="C201" t="s">
        <v>162</v>
      </c>
      <c r="D201" t="s">
        <v>176</v>
      </c>
      <c r="E201" t="s">
        <v>301</v>
      </c>
      <c r="F201" t="s">
        <v>398</v>
      </c>
      <c r="G201" s="3" t="s">
        <v>399</v>
      </c>
      <c r="H201" t="s">
        <v>18</v>
      </c>
      <c r="I201" s="13" t="s">
        <v>19</v>
      </c>
      <c r="J201">
        <f t="shared" ref="J201:J265" si="4">IF(I201="Completed",100,IF(I201="Ongoing",50,IF(I201="For Review",75,IF(I201="Delayed",30,0))))</f>
        <v>100</v>
      </c>
    </row>
    <row r="202" spans="1:11" hidden="1">
      <c r="A202" s="6">
        <v>46147</v>
      </c>
      <c r="B202" t="s">
        <v>283</v>
      </c>
      <c r="C202" t="s">
        <v>162</v>
      </c>
      <c r="D202" t="s">
        <v>176</v>
      </c>
      <c r="E202" t="s">
        <v>393</v>
      </c>
      <c r="F202" t="s">
        <v>400</v>
      </c>
      <c r="G202" s="2">
        <v>46147</v>
      </c>
      <c r="H202" t="s">
        <v>57</v>
      </c>
      <c r="I202" s="13" t="s">
        <v>19</v>
      </c>
      <c r="J202">
        <f t="shared" si="4"/>
        <v>100</v>
      </c>
    </row>
    <row r="203" spans="1:11" hidden="1">
      <c r="A203" s="6">
        <v>46147</v>
      </c>
      <c r="B203" t="s">
        <v>311</v>
      </c>
      <c r="C203" t="s">
        <v>162</v>
      </c>
      <c r="D203" t="s">
        <v>163</v>
      </c>
      <c r="E203" t="s">
        <v>401</v>
      </c>
      <c r="F203" t="s">
        <v>402</v>
      </c>
      <c r="G203" s="2">
        <v>46147</v>
      </c>
      <c r="H203" t="s">
        <v>18</v>
      </c>
      <c r="I203" s="13" t="s">
        <v>19</v>
      </c>
      <c r="J203">
        <f t="shared" si="4"/>
        <v>100</v>
      </c>
    </row>
    <row r="204" spans="1:11" ht="15" hidden="1">
      <c r="A204" s="20">
        <v>46147</v>
      </c>
      <c r="B204" t="s">
        <v>311</v>
      </c>
      <c r="C204" t="s">
        <v>162</v>
      </c>
      <c r="D204" t="s">
        <v>163</v>
      </c>
      <c r="E204" t="s">
        <v>301</v>
      </c>
      <c r="F204" t="s">
        <v>403</v>
      </c>
      <c r="G204" s="2">
        <v>46147</v>
      </c>
      <c r="H204" t="s">
        <v>57</v>
      </c>
      <c r="I204" s="13" t="s">
        <v>19</v>
      </c>
      <c r="J204">
        <f t="shared" si="4"/>
        <v>100</v>
      </c>
    </row>
    <row r="205" spans="1:11" hidden="1">
      <c r="A205" s="6">
        <v>46147</v>
      </c>
      <c r="B205" t="s">
        <v>404</v>
      </c>
      <c r="C205" t="s">
        <v>162</v>
      </c>
      <c r="D205" t="s">
        <v>166</v>
      </c>
      <c r="E205" t="s">
        <v>301</v>
      </c>
      <c r="F205" t="s">
        <v>405</v>
      </c>
      <c r="G205" s="2">
        <v>46147</v>
      </c>
      <c r="H205" t="s">
        <v>57</v>
      </c>
      <c r="I205" s="13" t="s">
        <v>19</v>
      </c>
      <c r="J205">
        <f t="shared" si="4"/>
        <v>100</v>
      </c>
    </row>
    <row r="206" spans="1:11" hidden="1">
      <c r="A206" s="6">
        <v>46147</v>
      </c>
      <c r="B206" t="s">
        <v>406</v>
      </c>
      <c r="C206" t="s">
        <v>162</v>
      </c>
      <c r="D206" t="s">
        <v>166</v>
      </c>
      <c r="E206" t="s">
        <v>167</v>
      </c>
      <c r="F206" t="s">
        <v>407</v>
      </c>
      <c r="G206" s="2">
        <v>46147</v>
      </c>
      <c r="H206" t="s">
        <v>57</v>
      </c>
      <c r="I206" s="13" t="s">
        <v>19</v>
      </c>
      <c r="J206">
        <f t="shared" si="4"/>
        <v>100</v>
      </c>
    </row>
    <row r="207" spans="1:11" hidden="1">
      <c r="A207" s="6">
        <v>46147</v>
      </c>
      <c r="B207" t="s">
        <v>165</v>
      </c>
      <c r="C207" t="s">
        <v>162</v>
      </c>
      <c r="D207" t="s">
        <v>166</v>
      </c>
      <c r="E207" t="s">
        <v>393</v>
      </c>
      <c r="F207" t="s">
        <v>408</v>
      </c>
      <c r="G207" s="2">
        <v>46147</v>
      </c>
      <c r="H207" t="s">
        <v>57</v>
      </c>
      <c r="I207" s="13" t="s">
        <v>19</v>
      </c>
      <c r="J207">
        <f t="shared" si="4"/>
        <v>100</v>
      </c>
    </row>
    <row r="208" spans="1:11" hidden="1">
      <c r="A208" s="6">
        <v>46147</v>
      </c>
      <c r="B208" t="s">
        <v>346</v>
      </c>
      <c r="C208" t="s">
        <v>157</v>
      </c>
      <c r="D208" t="s">
        <v>15</v>
      </c>
      <c r="E208" t="s">
        <v>409</v>
      </c>
      <c r="F208" t="s">
        <v>410</v>
      </c>
      <c r="G208" s="2">
        <v>46147</v>
      </c>
      <c r="H208" t="s">
        <v>57</v>
      </c>
      <c r="I208" s="13" t="s">
        <v>19</v>
      </c>
      <c r="J208">
        <f t="shared" si="4"/>
        <v>100</v>
      </c>
    </row>
    <row r="209" spans="1:13" hidden="1">
      <c r="A209" s="6">
        <v>46147</v>
      </c>
      <c r="B209" t="s">
        <v>346</v>
      </c>
      <c r="C209" t="s">
        <v>157</v>
      </c>
      <c r="D209" t="s">
        <v>15</v>
      </c>
      <c r="E209" t="s">
        <v>82</v>
      </c>
      <c r="F209" t="s">
        <v>411</v>
      </c>
      <c r="G209" s="2">
        <v>46147</v>
      </c>
      <c r="H209" t="s">
        <v>18</v>
      </c>
      <c r="I209" s="13" t="s">
        <v>19</v>
      </c>
      <c r="J209">
        <f t="shared" si="4"/>
        <v>100</v>
      </c>
    </row>
    <row r="210" spans="1:13" hidden="1">
      <c r="A210" s="6">
        <v>46147</v>
      </c>
      <c r="B210" t="s">
        <v>346</v>
      </c>
      <c r="C210" t="s">
        <v>157</v>
      </c>
      <c r="D210" t="s">
        <v>15</v>
      </c>
      <c r="E210" t="s">
        <v>82</v>
      </c>
      <c r="F210" t="s">
        <v>412</v>
      </c>
      <c r="G210" s="2">
        <v>46147</v>
      </c>
      <c r="H210" t="s">
        <v>18</v>
      </c>
      <c r="I210" s="13" t="s">
        <v>19</v>
      </c>
      <c r="J210">
        <f t="shared" si="4"/>
        <v>100</v>
      </c>
    </row>
    <row r="211" spans="1:13" hidden="1">
      <c r="A211" s="6">
        <v>46147</v>
      </c>
      <c r="B211" t="s">
        <v>26</v>
      </c>
      <c r="C211" t="s">
        <v>23</v>
      </c>
      <c r="D211" t="s">
        <v>15</v>
      </c>
      <c r="E211" t="s">
        <v>413</v>
      </c>
      <c r="F211" t="s">
        <v>414</v>
      </c>
      <c r="G211" s="2">
        <v>46147</v>
      </c>
      <c r="H211" t="s">
        <v>18</v>
      </c>
      <c r="I211" s="13" t="s">
        <v>19</v>
      </c>
      <c r="J211">
        <f t="shared" si="4"/>
        <v>100</v>
      </c>
    </row>
    <row r="212" spans="1:13" ht="15" hidden="1">
      <c r="A212" s="6">
        <v>46147</v>
      </c>
      <c r="B212" t="s">
        <v>389</v>
      </c>
      <c r="C212" t="s">
        <v>271</v>
      </c>
      <c r="D212" t="s">
        <v>15</v>
      </c>
      <c r="E212" t="s">
        <v>82</v>
      </c>
      <c r="F212" s="7" t="s">
        <v>415</v>
      </c>
      <c r="G212" s="2">
        <v>46147</v>
      </c>
      <c r="H212" t="s">
        <v>18</v>
      </c>
      <c r="I212" s="13" t="s">
        <v>19</v>
      </c>
      <c r="J212">
        <f t="shared" si="4"/>
        <v>100</v>
      </c>
    </row>
    <row r="213" spans="1:13" hidden="1">
      <c r="A213" s="6">
        <v>46147</v>
      </c>
      <c r="B213" t="s">
        <v>344</v>
      </c>
      <c r="C213" t="s">
        <v>271</v>
      </c>
      <c r="D213" t="s">
        <v>15</v>
      </c>
      <c r="E213" t="s">
        <v>82</v>
      </c>
      <c r="F213" t="s">
        <v>416</v>
      </c>
      <c r="G213" s="2">
        <v>46147</v>
      </c>
      <c r="H213" t="s">
        <v>18</v>
      </c>
      <c r="I213" s="21" t="s">
        <v>19</v>
      </c>
      <c r="J213">
        <f t="shared" si="4"/>
        <v>100</v>
      </c>
    </row>
    <row r="214" spans="1:13" hidden="1">
      <c r="A214" s="2">
        <v>46147</v>
      </c>
      <c r="B214" t="s">
        <v>290</v>
      </c>
      <c r="C214" t="s">
        <v>162</v>
      </c>
      <c r="D214" t="s">
        <v>176</v>
      </c>
      <c r="E214" t="s">
        <v>393</v>
      </c>
      <c r="F214" t="s">
        <v>417</v>
      </c>
      <c r="G214" s="2">
        <v>46147</v>
      </c>
      <c r="H214" t="s">
        <v>18</v>
      </c>
      <c r="I214" s="13" t="s">
        <v>19</v>
      </c>
      <c r="J214">
        <f t="shared" si="4"/>
        <v>100</v>
      </c>
    </row>
    <row r="215" spans="1:13" hidden="1">
      <c r="A215" s="6">
        <v>46147</v>
      </c>
      <c r="B215" t="s">
        <v>349</v>
      </c>
      <c r="C215" t="s">
        <v>23</v>
      </c>
      <c r="D215" t="s">
        <v>15</v>
      </c>
      <c r="E215" t="s">
        <v>350</v>
      </c>
      <c r="F215" t="s">
        <v>418</v>
      </c>
      <c r="G215" s="2">
        <v>46147</v>
      </c>
      <c r="H215" t="s">
        <v>57</v>
      </c>
      <c r="I215" s="13" t="s">
        <v>19</v>
      </c>
      <c r="J215">
        <f t="shared" si="4"/>
        <v>100</v>
      </c>
    </row>
    <row r="216" spans="1:13" hidden="1">
      <c r="A216" s="6">
        <v>46147</v>
      </c>
      <c r="B216" t="s">
        <v>349</v>
      </c>
      <c r="C216" t="s">
        <v>23</v>
      </c>
      <c r="D216" t="s">
        <v>15</v>
      </c>
      <c r="E216" t="s">
        <v>162</v>
      </c>
      <c r="F216" t="s">
        <v>419</v>
      </c>
      <c r="G216" s="2">
        <v>46147</v>
      </c>
      <c r="H216" t="s">
        <v>57</v>
      </c>
      <c r="I216" s="13" t="s">
        <v>19</v>
      </c>
      <c r="J216">
        <f t="shared" si="4"/>
        <v>100</v>
      </c>
    </row>
    <row r="217" spans="1:13" hidden="1">
      <c r="A217" s="6">
        <v>46147</v>
      </c>
      <c r="B217" t="s">
        <v>349</v>
      </c>
      <c r="C217" t="s">
        <v>23</v>
      </c>
      <c r="D217" t="s">
        <v>15</v>
      </c>
      <c r="E217" t="s">
        <v>420</v>
      </c>
      <c r="F217" t="s">
        <v>421</v>
      </c>
      <c r="G217" s="2">
        <v>46147</v>
      </c>
      <c r="H217" t="s">
        <v>57</v>
      </c>
      <c r="I217" s="13" t="s">
        <v>19</v>
      </c>
      <c r="J217">
        <f t="shared" si="4"/>
        <v>100</v>
      </c>
    </row>
    <row r="218" spans="1:13" hidden="1">
      <c r="A218" s="6">
        <v>46147</v>
      </c>
      <c r="B218" t="s">
        <v>222</v>
      </c>
      <c r="C218" t="s">
        <v>162</v>
      </c>
      <c r="D218" t="s">
        <v>179</v>
      </c>
      <c r="E218" t="s">
        <v>226</v>
      </c>
      <c r="F218" t="s">
        <v>422</v>
      </c>
      <c r="G218" s="2">
        <v>46147</v>
      </c>
      <c r="H218" t="s">
        <v>57</v>
      </c>
      <c r="I218" s="13" t="s">
        <v>19</v>
      </c>
      <c r="J218">
        <f t="shared" si="4"/>
        <v>100</v>
      </c>
      <c r="M218" s="11"/>
    </row>
    <row r="219" spans="1:13" hidden="1">
      <c r="A219" s="6">
        <v>46147</v>
      </c>
      <c r="B219" t="s">
        <v>165</v>
      </c>
      <c r="C219" t="s">
        <v>162</v>
      </c>
      <c r="D219" t="s">
        <v>166</v>
      </c>
      <c r="E219" t="s">
        <v>187</v>
      </c>
      <c r="F219" t="s">
        <v>423</v>
      </c>
      <c r="G219" s="2">
        <v>46147</v>
      </c>
      <c r="H219" t="s">
        <v>57</v>
      </c>
      <c r="I219" s="13" t="s">
        <v>19</v>
      </c>
      <c r="J219">
        <f t="shared" si="4"/>
        <v>100</v>
      </c>
    </row>
    <row r="220" spans="1:13" hidden="1">
      <c r="A220" s="6">
        <v>46147</v>
      </c>
      <c r="B220" t="s">
        <v>266</v>
      </c>
      <c r="C220" t="s">
        <v>162</v>
      </c>
      <c r="D220" t="s">
        <v>176</v>
      </c>
      <c r="E220" t="s">
        <v>187</v>
      </c>
      <c r="F220" t="s">
        <v>423</v>
      </c>
      <c r="G220" s="2">
        <v>46147</v>
      </c>
      <c r="H220" t="s">
        <v>57</v>
      </c>
      <c r="I220" s="13" t="s">
        <v>19</v>
      </c>
      <c r="J220">
        <f t="shared" si="4"/>
        <v>100</v>
      </c>
    </row>
    <row r="221" spans="1:13" hidden="1">
      <c r="A221" s="6">
        <v>46147</v>
      </c>
      <c r="B221" t="s">
        <v>424</v>
      </c>
      <c r="C221" t="s">
        <v>162</v>
      </c>
      <c r="D221" t="s">
        <v>176</v>
      </c>
      <c r="E221" t="s">
        <v>187</v>
      </c>
      <c r="F221" t="s">
        <v>423</v>
      </c>
      <c r="G221" s="2">
        <v>46147</v>
      </c>
      <c r="H221" t="s">
        <v>57</v>
      </c>
      <c r="I221" s="13" t="s">
        <v>19</v>
      </c>
      <c r="J221">
        <f t="shared" si="4"/>
        <v>100</v>
      </c>
      <c r="M221" s="11" t="s">
        <v>425</v>
      </c>
    </row>
    <row r="222" spans="1:13" hidden="1">
      <c r="A222" s="6">
        <v>46147</v>
      </c>
      <c r="B222" t="s">
        <v>426</v>
      </c>
      <c r="C222" t="s">
        <v>162</v>
      </c>
      <c r="D222" t="s">
        <v>166</v>
      </c>
      <c r="E222" t="s">
        <v>187</v>
      </c>
      <c r="F222" t="s">
        <v>423</v>
      </c>
      <c r="G222" s="2">
        <v>46147</v>
      </c>
      <c r="H222" t="s">
        <v>57</v>
      </c>
      <c r="I222" s="13" t="s">
        <v>19</v>
      </c>
      <c r="J222">
        <f t="shared" si="4"/>
        <v>100</v>
      </c>
    </row>
    <row r="223" spans="1:13" hidden="1">
      <c r="A223" s="6">
        <v>46147</v>
      </c>
      <c r="B223" t="s">
        <v>234</v>
      </c>
      <c r="C223" t="s">
        <v>162</v>
      </c>
      <c r="D223" t="s">
        <v>176</v>
      </c>
      <c r="E223" t="s">
        <v>427</v>
      </c>
      <c r="F223" t="s">
        <v>428</v>
      </c>
      <c r="G223" s="2">
        <v>46147</v>
      </c>
      <c r="H223" t="s">
        <v>57</v>
      </c>
      <c r="I223" s="13" t="s">
        <v>19</v>
      </c>
      <c r="J223">
        <f t="shared" si="4"/>
        <v>100</v>
      </c>
    </row>
    <row r="224" spans="1:13">
      <c r="A224" s="6">
        <v>46148</v>
      </c>
      <c r="B224" t="s">
        <v>326</v>
      </c>
      <c r="C224" t="s">
        <v>429</v>
      </c>
      <c r="D224" t="s">
        <v>430</v>
      </c>
      <c r="E224" t="s">
        <v>427</v>
      </c>
      <c r="F224" t="s">
        <v>431</v>
      </c>
      <c r="G224" s="2">
        <v>46148</v>
      </c>
      <c r="H224" t="s">
        <v>18</v>
      </c>
      <c r="I224" t="s">
        <v>51</v>
      </c>
      <c r="J224">
        <f t="shared" si="4"/>
        <v>50</v>
      </c>
    </row>
    <row r="225" spans="1:11" hidden="1">
      <c r="A225" s="6">
        <v>46148</v>
      </c>
      <c r="B225" t="s">
        <v>290</v>
      </c>
      <c r="C225" t="s">
        <v>162</v>
      </c>
      <c r="D225" t="s">
        <v>176</v>
      </c>
      <c r="E225" t="s">
        <v>427</v>
      </c>
      <c r="F225" t="s">
        <v>432</v>
      </c>
      <c r="G225" s="2">
        <v>46148</v>
      </c>
      <c r="H225" t="s">
        <v>18</v>
      </c>
      <c r="I225" s="13" t="s">
        <v>19</v>
      </c>
      <c r="J225">
        <f t="shared" si="4"/>
        <v>100</v>
      </c>
    </row>
    <row r="226" spans="1:11" hidden="1">
      <c r="A226" s="6">
        <v>46147</v>
      </c>
      <c r="B226" t="s">
        <v>161</v>
      </c>
      <c r="C226" t="s">
        <v>162</v>
      </c>
      <c r="D226" t="s">
        <v>163</v>
      </c>
      <c r="E226" t="s">
        <v>427</v>
      </c>
      <c r="F226" t="s">
        <v>433</v>
      </c>
      <c r="G226" s="2">
        <v>46147</v>
      </c>
      <c r="H226" t="s">
        <v>18</v>
      </c>
      <c r="I226" s="13" t="s">
        <v>19</v>
      </c>
      <c r="J226">
        <f t="shared" si="4"/>
        <v>100</v>
      </c>
    </row>
    <row r="227" spans="1:11" hidden="1">
      <c r="A227" s="6">
        <v>46147</v>
      </c>
      <c r="B227" t="s">
        <v>170</v>
      </c>
      <c r="C227" t="s">
        <v>171</v>
      </c>
      <c r="D227" t="s">
        <v>15</v>
      </c>
      <c r="E227" t="s">
        <v>123</v>
      </c>
      <c r="F227" t="s">
        <v>434</v>
      </c>
      <c r="G227" s="6">
        <v>46147</v>
      </c>
      <c r="H227" t="s">
        <v>57</v>
      </c>
      <c r="I227" s="13" t="s">
        <v>19</v>
      </c>
      <c r="J227">
        <f t="shared" si="4"/>
        <v>100</v>
      </c>
    </row>
    <row r="228" spans="1:11" hidden="1">
      <c r="A228" s="6">
        <v>46147</v>
      </c>
      <c r="B228" t="s">
        <v>435</v>
      </c>
      <c r="C228" t="s">
        <v>436</v>
      </c>
      <c r="D228" t="s">
        <v>166</v>
      </c>
      <c r="E228" t="s">
        <v>427</v>
      </c>
      <c r="F228" t="s">
        <v>437</v>
      </c>
      <c r="G228" s="2">
        <v>46146</v>
      </c>
      <c r="H228" t="s">
        <v>18</v>
      </c>
      <c r="I228" s="13" t="s">
        <v>19</v>
      </c>
      <c r="J228">
        <f t="shared" si="4"/>
        <v>100</v>
      </c>
    </row>
    <row r="229" spans="1:11" hidden="1">
      <c r="A229" s="6">
        <v>46147</v>
      </c>
      <c r="B229" t="s">
        <v>435</v>
      </c>
      <c r="C229" t="s">
        <v>436</v>
      </c>
      <c r="D229" t="s">
        <v>166</v>
      </c>
      <c r="E229" t="s">
        <v>427</v>
      </c>
      <c r="F229" t="s">
        <v>437</v>
      </c>
      <c r="G229" s="2">
        <v>46147</v>
      </c>
      <c r="H229" t="s">
        <v>18</v>
      </c>
      <c r="I229" s="13" t="s">
        <v>19</v>
      </c>
      <c r="J229">
        <f t="shared" si="4"/>
        <v>100</v>
      </c>
    </row>
    <row r="230" spans="1:11" hidden="1">
      <c r="A230" s="6">
        <v>46147</v>
      </c>
      <c r="B230" t="s">
        <v>435</v>
      </c>
      <c r="C230" t="s">
        <v>436</v>
      </c>
      <c r="D230" t="s">
        <v>166</v>
      </c>
      <c r="E230" t="s">
        <v>427</v>
      </c>
      <c r="F230" t="s">
        <v>438</v>
      </c>
      <c r="G230" s="2">
        <v>46147</v>
      </c>
      <c r="H230" t="s">
        <v>18</v>
      </c>
      <c r="I230" s="13" t="s">
        <v>19</v>
      </c>
      <c r="J230">
        <f t="shared" si="4"/>
        <v>100</v>
      </c>
    </row>
    <row r="231" spans="1:11" hidden="1">
      <c r="A231" s="6">
        <v>46147</v>
      </c>
      <c r="B231" t="s">
        <v>311</v>
      </c>
      <c r="C231" t="s">
        <v>162</v>
      </c>
      <c r="D231" t="s">
        <v>163</v>
      </c>
      <c r="E231" t="s">
        <v>187</v>
      </c>
      <c r="F231" t="s">
        <v>439</v>
      </c>
      <c r="G231" s="2">
        <v>46148</v>
      </c>
      <c r="H231" t="s">
        <v>57</v>
      </c>
      <c r="I231" s="13" t="s">
        <v>19</v>
      </c>
      <c r="J231">
        <f t="shared" si="4"/>
        <v>100</v>
      </c>
    </row>
    <row r="232" spans="1:11" hidden="1">
      <c r="A232" s="6">
        <v>46147</v>
      </c>
      <c r="B232" t="s">
        <v>290</v>
      </c>
      <c r="C232" t="s">
        <v>162</v>
      </c>
      <c r="D232" t="s">
        <v>176</v>
      </c>
      <c r="E232" t="s">
        <v>440</v>
      </c>
      <c r="F232" t="s">
        <v>441</v>
      </c>
      <c r="G232" s="2">
        <v>46148</v>
      </c>
      <c r="H232" t="s">
        <v>57</v>
      </c>
      <c r="I232" s="13" t="s">
        <v>19</v>
      </c>
      <c r="J232">
        <f t="shared" si="4"/>
        <v>100</v>
      </c>
    </row>
    <row r="233" spans="1:11" hidden="1">
      <c r="A233" s="6">
        <v>46147</v>
      </c>
      <c r="B233" t="s">
        <v>266</v>
      </c>
      <c r="C233" t="s">
        <v>162</v>
      </c>
      <c r="D233" t="s">
        <v>176</v>
      </c>
      <c r="E233" t="s">
        <v>427</v>
      </c>
      <c r="F233" t="s">
        <v>442</v>
      </c>
      <c r="G233" s="2">
        <v>46147</v>
      </c>
      <c r="H233" t="s">
        <v>57</v>
      </c>
      <c r="I233" s="13" t="s">
        <v>19</v>
      </c>
      <c r="J233">
        <f t="shared" si="4"/>
        <v>100</v>
      </c>
    </row>
    <row r="234" spans="1:11" hidden="1">
      <c r="A234" s="6">
        <v>46147</v>
      </c>
      <c r="B234" t="s">
        <v>292</v>
      </c>
      <c r="C234" t="s">
        <v>203</v>
      </c>
      <c r="D234" t="s">
        <v>176</v>
      </c>
      <c r="E234" t="s">
        <v>433</v>
      </c>
      <c r="F234" t="s">
        <v>443</v>
      </c>
      <c r="G234" s="2">
        <v>46147</v>
      </c>
      <c r="H234" t="s">
        <v>18</v>
      </c>
      <c r="I234" s="13" t="s">
        <v>19</v>
      </c>
      <c r="J234">
        <f t="shared" si="4"/>
        <v>100</v>
      </c>
    </row>
    <row r="235" spans="1:11" hidden="1">
      <c r="A235" s="6">
        <v>46147</v>
      </c>
      <c r="B235" t="s">
        <v>292</v>
      </c>
      <c r="C235" t="s">
        <v>203</v>
      </c>
      <c r="D235" t="s">
        <v>176</v>
      </c>
      <c r="E235" t="s">
        <v>352</v>
      </c>
      <c r="F235" t="s">
        <v>444</v>
      </c>
      <c r="G235" s="2">
        <v>46147</v>
      </c>
      <c r="H235" t="s">
        <v>57</v>
      </c>
      <c r="I235" s="13" t="s">
        <v>19</v>
      </c>
      <c r="J235">
        <f t="shared" si="4"/>
        <v>100</v>
      </c>
    </row>
    <row r="236" spans="1:11" hidden="1">
      <c r="A236" s="6">
        <v>46147</v>
      </c>
      <c r="B236" t="s">
        <v>292</v>
      </c>
      <c r="C236" t="s">
        <v>203</v>
      </c>
      <c r="D236" t="s">
        <v>176</v>
      </c>
      <c r="E236" t="s">
        <v>445</v>
      </c>
      <c r="F236" t="s">
        <v>446</v>
      </c>
      <c r="G236" s="2">
        <v>46152</v>
      </c>
      <c r="H236" t="s">
        <v>18</v>
      </c>
      <c r="I236" s="26" t="s">
        <v>19</v>
      </c>
      <c r="J236">
        <f t="shared" si="4"/>
        <v>100</v>
      </c>
    </row>
    <row r="237" spans="1:11" hidden="1">
      <c r="A237" s="6">
        <v>46147</v>
      </c>
      <c r="B237" t="s">
        <v>170</v>
      </c>
      <c r="C237" t="s">
        <v>171</v>
      </c>
      <c r="D237" t="s">
        <v>15</v>
      </c>
      <c r="E237" t="s">
        <v>237</v>
      </c>
      <c r="F237" t="s">
        <v>447</v>
      </c>
      <c r="G237" s="2">
        <v>46147</v>
      </c>
      <c r="H237" t="s">
        <v>57</v>
      </c>
      <c r="I237" s="13" t="s">
        <v>19</v>
      </c>
      <c r="J237">
        <f t="shared" si="4"/>
        <v>100</v>
      </c>
    </row>
    <row r="238" spans="1:11" hidden="1">
      <c r="A238" s="6">
        <v>46147</v>
      </c>
      <c r="B238" t="s">
        <v>349</v>
      </c>
      <c r="C238" t="s">
        <v>23</v>
      </c>
      <c r="D238" t="s">
        <v>15</v>
      </c>
      <c r="E238" t="s">
        <v>420</v>
      </c>
      <c r="F238" t="s">
        <v>448</v>
      </c>
      <c r="G238" s="2">
        <v>46147</v>
      </c>
      <c r="H238" t="s">
        <v>57</v>
      </c>
      <c r="I238" s="13" t="s">
        <v>19</v>
      </c>
      <c r="J238">
        <f t="shared" si="4"/>
        <v>100</v>
      </c>
    </row>
    <row r="239" spans="1:11" hidden="1">
      <c r="A239" s="6">
        <v>46147</v>
      </c>
      <c r="B239" t="s">
        <v>170</v>
      </c>
      <c r="C239" t="s">
        <v>171</v>
      </c>
      <c r="D239" t="s">
        <v>15</v>
      </c>
      <c r="E239" t="s">
        <v>237</v>
      </c>
      <c r="F239" t="s">
        <v>282</v>
      </c>
      <c r="G239" s="2">
        <v>46147</v>
      </c>
      <c r="H239" t="s">
        <v>18</v>
      </c>
      <c r="I239" s="13" t="s">
        <v>19</v>
      </c>
      <c r="J239">
        <f t="shared" si="4"/>
        <v>100</v>
      </c>
    </row>
    <row r="240" spans="1:11" hidden="1">
      <c r="A240" s="6">
        <v>46147</v>
      </c>
      <c r="B240" t="s">
        <v>343</v>
      </c>
      <c r="C240" t="s">
        <v>39</v>
      </c>
      <c r="D240" t="s">
        <v>15</v>
      </c>
      <c r="E240" t="s">
        <v>449</v>
      </c>
      <c r="F240" t="s">
        <v>450</v>
      </c>
      <c r="G240" s="2">
        <v>46147</v>
      </c>
      <c r="H240" t="s">
        <v>18</v>
      </c>
      <c r="I240" s="13" t="s">
        <v>19</v>
      </c>
      <c r="J240">
        <f t="shared" si="4"/>
        <v>100</v>
      </c>
      <c r="K240" t="s">
        <v>174</v>
      </c>
    </row>
    <row r="241" spans="1:10" hidden="1">
      <c r="A241" s="6">
        <v>46149</v>
      </c>
      <c r="B241" t="s">
        <v>178</v>
      </c>
      <c r="C241" t="s">
        <v>162</v>
      </c>
      <c r="D241" t="s">
        <v>179</v>
      </c>
      <c r="E241" t="s">
        <v>383</v>
      </c>
      <c r="F241" t="s">
        <v>451</v>
      </c>
      <c r="G241" s="2">
        <v>46149</v>
      </c>
      <c r="H241" t="s">
        <v>57</v>
      </c>
      <c r="I241" s="13" t="s">
        <v>19</v>
      </c>
      <c r="J241">
        <f t="shared" si="4"/>
        <v>100</v>
      </c>
    </row>
    <row r="242" spans="1:10" hidden="1">
      <c r="A242" s="6">
        <v>46149</v>
      </c>
      <c r="B242" t="s">
        <v>178</v>
      </c>
      <c r="C242" t="s">
        <v>162</v>
      </c>
      <c r="D242" t="s">
        <v>179</v>
      </c>
      <c r="E242" t="s">
        <v>383</v>
      </c>
      <c r="F242" t="s">
        <v>452</v>
      </c>
      <c r="G242" s="2">
        <v>46149</v>
      </c>
      <c r="H242" t="s">
        <v>57</v>
      </c>
      <c r="I242" s="13" t="s">
        <v>19</v>
      </c>
      <c r="J242">
        <f t="shared" si="4"/>
        <v>100</v>
      </c>
    </row>
    <row r="243" spans="1:10" hidden="1">
      <c r="A243" s="6">
        <v>46149</v>
      </c>
      <c r="B243" t="s">
        <v>186</v>
      </c>
      <c r="C243" t="s">
        <v>162</v>
      </c>
      <c r="D243" t="s">
        <v>166</v>
      </c>
      <c r="E243" t="s">
        <v>226</v>
      </c>
      <c r="F243" t="s">
        <v>453</v>
      </c>
      <c r="G243" s="2">
        <v>46149</v>
      </c>
      <c r="H243" t="s">
        <v>57</v>
      </c>
      <c r="I243" s="13" t="s">
        <v>19</v>
      </c>
      <c r="J243">
        <f t="shared" si="4"/>
        <v>100</v>
      </c>
    </row>
    <row r="244" spans="1:10" hidden="1">
      <c r="A244" s="6">
        <v>46149</v>
      </c>
      <c r="B244" t="s">
        <v>454</v>
      </c>
      <c r="C244" t="s">
        <v>162</v>
      </c>
      <c r="D244" t="s">
        <v>163</v>
      </c>
      <c r="E244" t="s">
        <v>226</v>
      </c>
      <c r="F244" t="s">
        <v>455</v>
      </c>
      <c r="G244" s="6">
        <v>46149</v>
      </c>
      <c r="H244" t="s">
        <v>18</v>
      </c>
      <c r="I244" s="13" t="s">
        <v>19</v>
      </c>
      <c r="J244">
        <f t="shared" si="4"/>
        <v>100</v>
      </c>
    </row>
    <row r="245" spans="1:10" hidden="1">
      <c r="A245" s="6">
        <v>46149</v>
      </c>
      <c r="B245" t="s">
        <v>186</v>
      </c>
      <c r="C245" t="s">
        <v>162</v>
      </c>
      <c r="D245" t="s">
        <v>166</v>
      </c>
      <c r="E245" t="s">
        <v>187</v>
      </c>
      <c r="F245" t="s">
        <v>456</v>
      </c>
      <c r="G245" s="2">
        <v>46149</v>
      </c>
      <c r="H245" t="s">
        <v>18</v>
      </c>
      <c r="I245" s="13" t="s">
        <v>19</v>
      </c>
      <c r="J245">
        <f t="shared" si="4"/>
        <v>100</v>
      </c>
    </row>
    <row r="246" spans="1:10" hidden="1">
      <c r="A246" s="6">
        <v>46149</v>
      </c>
      <c r="B246" t="s">
        <v>186</v>
      </c>
      <c r="C246" t="s">
        <v>162</v>
      </c>
      <c r="D246" t="s">
        <v>166</v>
      </c>
      <c r="E246" t="s">
        <v>187</v>
      </c>
      <c r="F246" t="s">
        <v>457</v>
      </c>
      <c r="G246" s="2">
        <v>46149</v>
      </c>
      <c r="H246" t="s">
        <v>57</v>
      </c>
      <c r="I246" s="13" t="s">
        <v>19</v>
      </c>
      <c r="J246">
        <f t="shared" si="4"/>
        <v>100</v>
      </c>
    </row>
    <row r="247" spans="1:10" hidden="1">
      <c r="A247" s="6">
        <v>46149</v>
      </c>
      <c r="B247" t="s">
        <v>458</v>
      </c>
      <c r="C247" t="s">
        <v>162</v>
      </c>
      <c r="D247" t="s">
        <v>166</v>
      </c>
      <c r="E247" t="s">
        <v>226</v>
      </c>
      <c r="F247" t="s">
        <v>459</v>
      </c>
      <c r="G247" s="2">
        <v>46149</v>
      </c>
      <c r="H247" t="s">
        <v>18</v>
      </c>
      <c r="I247" s="13" t="s">
        <v>19</v>
      </c>
      <c r="J247">
        <f t="shared" si="4"/>
        <v>100</v>
      </c>
    </row>
    <row r="248" spans="1:10" hidden="1">
      <c r="A248" s="6">
        <v>46149</v>
      </c>
      <c r="B248" t="s">
        <v>460</v>
      </c>
      <c r="C248" t="s">
        <v>162</v>
      </c>
      <c r="D248" t="s">
        <v>176</v>
      </c>
      <c r="E248" t="s">
        <v>368</v>
      </c>
      <c r="F248" t="s">
        <v>461</v>
      </c>
      <c r="G248" s="2">
        <v>46149</v>
      </c>
      <c r="H248" t="s">
        <v>18</v>
      </c>
      <c r="I248" s="13" t="s">
        <v>19</v>
      </c>
      <c r="J248">
        <f t="shared" si="4"/>
        <v>100</v>
      </c>
    </row>
    <row r="249" spans="1:10" hidden="1">
      <c r="A249" s="6">
        <v>46149</v>
      </c>
      <c r="B249" t="s">
        <v>462</v>
      </c>
      <c r="C249" t="s">
        <v>463</v>
      </c>
      <c r="D249" t="s">
        <v>430</v>
      </c>
      <c r="E249" t="s">
        <v>427</v>
      </c>
      <c r="F249" t="s">
        <v>464</v>
      </c>
      <c r="G249" s="2">
        <v>46148</v>
      </c>
      <c r="H249" t="s">
        <v>18</v>
      </c>
      <c r="I249" s="13" t="s">
        <v>19</v>
      </c>
      <c r="J249">
        <f t="shared" si="4"/>
        <v>100</v>
      </c>
    </row>
    <row r="250" spans="1:10" hidden="1">
      <c r="A250" s="6">
        <v>46148</v>
      </c>
      <c r="B250" t="s">
        <v>234</v>
      </c>
      <c r="C250" t="s">
        <v>162</v>
      </c>
      <c r="D250" t="s">
        <v>176</v>
      </c>
      <c r="E250" t="s">
        <v>427</v>
      </c>
      <c r="F250" t="s">
        <v>465</v>
      </c>
      <c r="G250" s="2">
        <v>46148</v>
      </c>
      <c r="H250" t="s">
        <v>18</v>
      </c>
      <c r="I250" s="13" t="s">
        <v>19</v>
      </c>
      <c r="J250">
        <f t="shared" si="4"/>
        <v>100</v>
      </c>
    </row>
    <row r="251" spans="1:10" hidden="1">
      <c r="A251" s="6">
        <v>46148</v>
      </c>
      <c r="B251" t="s">
        <v>460</v>
      </c>
      <c r="C251" t="s">
        <v>162</v>
      </c>
      <c r="D251" t="s">
        <v>176</v>
      </c>
      <c r="E251" t="s">
        <v>427</v>
      </c>
      <c r="F251" t="s">
        <v>466</v>
      </c>
      <c r="G251" s="2">
        <v>46148</v>
      </c>
      <c r="H251" t="s">
        <v>18</v>
      </c>
      <c r="I251" s="13" t="s">
        <v>19</v>
      </c>
      <c r="J251">
        <f t="shared" si="4"/>
        <v>100</v>
      </c>
    </row>
    <row r="252" spans="1:10" hidden="1">
      <c r="A252" s="6">
        <v>46149</v>
      </c>
      <c r="B252" t="s">
        <v>234</v>
      </c>
      <c r="C252" t="s">
        <v>162</v>
      </c>
      <c r="D252" t="s">
        <v>176</v>
      </c>
      <c r="E252" t="s">
        <v>467</v>
      </c>
      <c r="F252" t="s">
        <v>468</v>
      </c>
      <c r="G252" s="2">
        <v>46149</v>
      </c>
      <c r="H252" t="s">
        <v>18</v>
      </c>
      <c r="I252" s="13" t="s">
        <v>19</v>
      </c>
      <c r="J252">
        <f t="shared" si="4"/>
        <v>100</v>
      </c>
    </row>
    <row r="253" spans="1:10" hidden="1">
      <c r="A253" s="6">
        <v>46149</v>
      </c>
      <c r="B253" t="s">
        <v>234</v>
      </c>
      <c r="C253" t="s">
        <v>162</v>
      </c>
      <c r="D253" t="s">
        <v>176</v>
      </c>
      <c r="E253" t="s">
        <v>427</v>
      </c>
      <c r="F253" t="s">
        <v>469</v>
      </c>
      <c r="G253" s="2">
        <v>46149</v>
      </c>
      <c r="H253" t="s">
        <v>144</v>
      </c>
      <c r="I253" s="13" t="s">
        <v>19</v>
      </c>
      <c r="J253">
        <f t="shared" si="4"/>
        <v>100</v>
      </c>
    </row>
    <row r="254" spans="1:10" hidden="1">
      <c r="A254" s="6">
        <v>46149</v>
      </c>
      <c r="B254" t="s">
        <v>283</v>
      </c>
      <c r="C254" t="s">
        <v>162</v>
      </c>
      <c r="D254" t="s">
        <v>176</v>
      </c>
      <c r="E254" t="s">
        <v>427</v>
      </c>
      <c r="F254" t="s">
        <v>470</v>
      </c>
      <c r="G254" s="2">
        <v>46149</v>
      </c>
      <c r="H254" t="s">
        <v>18</v>
      </c>
      <c r="I254" s="13" t="s">
        <v>19</v>
      </c>
      <c r="J254">
        <f t="shared" si="4"/>
        <v>100</v>
      </c>
    </row>
    <row r="255" spans="1:10" hidden="1">
      <c r="A255" s="6">
        <v>46149</v>
      </c>
      <c r="B255" t="s">
        <v>222</v>
      </c>
      <c r="C255" t="s">
        <v>162</v>
      </c>
      <c r="D255" t="s">
        <v>179</v>
      </c>
      <c r="E255" t="s">
        <v>427</v>
      </c>
      <c r="F255" t="s">
        <v>471</v>
      </c>
      <c r="G255" s="2">
        <v>46149</v>
      </c>
      <c r="H255" t="s">
        <v>18</v>
      </c>
      <c r="I255" s="13" t="s">
        <v>19</v>
      </c>
      <c r="J255">
        <f t="shared" si="4"/>
        <v>100</v>
      </c>
    </row>
    <row r="256" spans="1:10" ht="15" hidden="1">
      <c r="A256" s="6">
        <v>46149</v>
      </c>
      <c r="B256" t="s">
        <v>389</v>
      </c>
      <c r="C256" t="s">
        <v>271</v>
      </c>
      <c r="D256" t="s">
        <v>15</v>
      </c>
      <c r="E256" t="s">
        <v>82</v>
      </c>
      <c r="F256" s="7" t="s">
        <v>472</v>
      </c>
      <c r="G256" s="2">
        <v>46149</v>
      </c>
      <c r="H256" t="s">
        <v>57</v>
      </c>
      <c r="I256" s="13" t="s">
        <v>19</v>
      </c>
      <c r="J256">
        <f t="shared" si="4"/>
        <v>100</v>
      </c>
    </row>
    <row r="257" spans="1:13" hidden="1">
      <c r="A257" s="6">
        <v>46149</v>
      </c>
      <c r="B257" t="s">
        <v>389</v>
      </c>
      <c r="C257" t="s">
        <v>271</v>
      </c>
      <c r="D257" t="s">
        <v>15</v>
      </c>
      <c r="E257" t="s">
        <v>82</v>
      </c>
      <c r="F257" t="s">
        <v>473</v>
      </c>
      <c r="G257" s="2">
        <v>46149</v>
      </c>
      <c r="H257" t="s">
        <v>57</v>
      </c>
      <c r="I257" s="13" t="s">
        <v>19</v>
      </c>
      <c r="J257">
        <f t="shared" si="4"/>
        <v>100</v>
      </c>
    </row>
    <row r="258" spans="1:13" hidden="1">
      <c r="A258" s="6">
        <v>46149</v>
      </c>
      <c r="B258" t="s">
        <v>170</v>
      </c>
      <c r="C258" t="s">
        <v>171</v>
      </c>
      <c r="D258" t="s">
        <v>15</v>
      </c>
      <c r="E258" t="s">
        <v>474</v>
      </c>
      <c r="F258" t="s">
        <v>475</v>
      </c>
      <c r="G258" s="2">
        <v>46149</v>
      </c>
      <c r="H258" t="s">
        <v>57</v>
      </c>
      <c r="I258" s="13" t="s">
        <v>19</v>
      </c>
      <c r="J258">
        <f t="shared" si="4"/>
        <v>100</v>
      </c>
    </row>
    <row r="259" spans="1:13" hidden="1">
      <c r="A259" s="6">
        <v>46149</v>
      </c>
      <c r="B259" t="s">
        <v>458</v>
      </c>
      <c r="C259" t="s">
        <v>162</v>
      </c>
      <c r="D259" t="s">
        <v>166</v>
      </c>
      <c r="E259" t="s">
        <v>476</v>
      </c>
      <c r="F259" t="s">
        <v>477</v>
      </c>
      <c r="G259" s="2">
        <v>46149</v>
      </c>
      <c r="H259" t="s">
        <v>57</v>
      </c>
      <c r="I259" s="13" t="s">
        <v>19</v>
      </c>
      <c r="J259">
        <f t="shared" si="4"/>
        <v>100</v>
      </c>
    </row>
    <row r="260" spans="1:13" hidden="1">
      <c r="A260" s="6">
        <v>46149</v>
      </c>
      <c r="B260" t="s">
        <v>346</v>
      </c>
      <c r="C260" t="s">
        <v>157</v>
      </c>
      <c r="D260" t="s">
        <v>15</v>
      </c>
      <c r="E260" t="s">
        <v>409</v>
      </c>
      <c r="F260" t="s">
        <v>410</v>
      </c>
      <c r="G260" s="2">
        <v>46149</v>
      </c>
      <c r="H260" t="s">
        <v>57</v>
      </c>
      <c r="I260" s="13" t="s">
        <v>19</v>
      </c>
      <c r="J260">
        <f t="shared" si="4"/>
        <v>100</v>
      </c>
    </row>
    <row r="261" spans="1:13" hidden="1">
      <c r="A261" s="6">
        <v>46149</v>
      </c>
      <c r="B261" t="s">
        <v>346</v>
      </c>
      <c r="C261" t="s">
        <v>157</v>
      </c>
      <c r="D261" t="s">
        <v>15</v>
      </c>
      <c r="E261" t="s">
        <v>82</v>
      </c>
      <c r="F261" t="s">
        <v>412</v>
      </c>
      <c r="G261" s="2">
        <v>46149</v>
      </c>
      <c r="H261" t="s">
        <v>18</v>
      </c>
      <c r="I261" s="13" t="s">
        <v>19</v>
      </c>
      <c r="J261">
        <f t="shared" si="4"/>
        <v>100</v>
      </c>
    </row>
    <row r="262" spans="1:13" hidden="1">
      <c r="A262" s="6">
        <v>46149</v>
      </c>
      <c r="B262" t="s">
        <v>323</v>
      </c>
      <c r="C262" t="s">
        <v>23</v>
      </c>
      <c r="D262" t="s">
        <v>15</v>
      </c>
      <c r="E262" t="s">
        <v>478</v>
      </c>
      <c r="F262" t="s">
        <v>479</v>
      </c>
      <c r="G262" s="2">
        <v>46149</v>
      </c>
      <c r="H262" t="s">
        <v>18</v>
      </c>
      <c r="I262" s="13" t="s">
        <v>19</v>
      </c>
      <c r="J262">
        <f t="shared" si="4"/>
        <v>100</v>
      </c>
    </row>
    <row r="263" spans="1:13" hidden="1">
      <c r="A263" s="6">
        <v>46149</v>
      </c>
      <c r="B263" t="s">
        <v>343</v>
      </c>
      <c r="C263" t="s">
        <v>39</v>
      </c>
      <c r="D263" t="s">
        <v>15</v>
      </c>
      <c r="E263" t="s">
        <v>40</v>
      </c>
      <c r="F263" t="s">
        <v>41</v>
      </c>
      <c r="G263" s="2">
        <v>46149</v>
      </c>
      <c r="H263" t="s">
        <v>18</v>
      </c>
      <c r="I263" s="13" t="s">
        <v>19</v>
      </c>
      <c r="J263">
        <f t="shared" si="4"/>
        <v>100</v>
      </c>
      <c r="K263" t="s">
        <v>480</v>
      </c>
    </row>
    <row r="264" spans="1:13" hidden="1">
      <c r="A264" s="6">
        <v>46149</v>
      </c>
      <c r="B264" t="s">
        <v>266</v>
      </c>
      <c r="C264" t="s">
        <v>203</v>
      </c>
      <c r="D264" t="s">
        <v>176</v>
      </c>
      <c r="E264" t="s">
        <v>427</v>
      </c>
      <c r="F264" t="s">
        <v>481</v>
      </c>
      <c r="G264" s="2">
        <v>46149</v>
      </c>
      <c r="H264" t="s">
        <v>57</v>
      </c>
      <c r="I264" s="13" t="s">
        <v>19</v>
      </c>
      <c r="J264">
        <f t="shared" si="4"/>
        <v>100</v>
      </c>
    </row>
    <row r="265" spans="1:13" hidden="1">
      <c r="A265" s="6">
        <v>46149</v>
      </c>
      <c r="B265" t="s">
        <v>266</v>
      </c>
      <c r="C265" t="s">
        <v>203</v>
      </c>
      <c r="D265" t="s">
        <v>176</v>
      </c>
      <c r="E265" t="s">
        <v>467</v>
      </c>
      <c r="F265" t="s">
        <v>482</v>
      </c>
      <c r="G265" s="2">
        <v>46149</v>
      </c>
      <c r="H265" t="s">
        <v>57</v>
      </c>
      <c r="I265" s="13" t="s">
        <v>19</v>
      </c>
      <c r="J265">
        <f t="shared" si="4"/>
        <v>100</v>
      </c>
      <c r="K265" s="11" t="s">
        <v>483</v>
      </c>
      <c r="M265" s="11" t="s">
        <v>484</v>
      </c>
    </row>
    <row r="266" spans="1:13" hidden="1">
      <c r="A266" s="6">
        <v>46149</v>
      </c>
      <c r="B266" t="s">
        <v>165</v>
      </c>
      <c r="C266" t="s">
        <v>203</v>
      </c>
      <c r="D266" t="s">
        <v>166</v>
      </c>
      <c r="E266" t="s">
        <v>467</v>
      </c>
      <c r="F266" t="s">
        <v>485</v>
      </c>
      <c r="G266" s="2">
        <v>46149</v>
      </c>
      <c r="H266" t="s">
        <v>57</v>
      </c>
      <c r="I266" s="13" t="s">
        <v>19</v>
      </c>
      <c r="J266">
        <f t="shared" ref="J266:J329" si="5">IF(I266="Completed",100,IF(I266="Ongoing",50,IF(I266="For Review",75,IF(I266="Delayed",30,0))))</f>
        <v>100</v>
      </c>
    </row>
    <row r="267" spans="1:13" hidden="1">
      <c r="A267" s="6">
        <v>46149</v>
      </c>
      <c r="B267" t="s">
        <v>165</v>
      </c>
      <c r="C267" t="s">
        <v>203</v>
      </c>
      <c r="D267" t="s">
        <v>166</v>
      </c>
      <c r="E267" t="s">
        <v>486</v>
      </c>
      <c r="F267" t="s">
        <v>487</v>
      </c>
      <c r="G267" s="2">
        <v>46149</v>
      </c>
      <c r="H267" t="s">
        <v>57</v>
      </c>
      <c r="I267" s="13" t="s">
        <v>19</v>
      </c>
      <c r="J267">
        <f t="shared" si="5"/>
        <v>100</v>
      </c>
    </row>
    <row r="268" spans="1:13" hidden="1">
      <c r="A268" s="6">
        <v>46149</v>
      </c>
      <c r="B268" t="s">
        <v>186</v>
      </c>
      <c r="C268" t="s">
        <v>162</v>
      </c>
      <c r="D268" t="s">
        <v>166</v>
      </c>
      <c r="E268" t="s">
        <v>467</v>
      </c>
      <c r="F268" t="s">
        <v>488</v>
      </c>
      <c r="G268" s="2">
        <v>46149</v>
      </c>
      <c r="H268" t="s">
        <v>57</v>
      </c>
      <c r="I268" s="13" t="s">
        <v>19</v>
      </c>
      <c r="J268">
        <f t="shared" si="5"/>
        <v>100</v>
      </c>
    </row>
    <row r="269" spans="1:13" hidden="1">
      <c r="A269" s="6">
        <v>46149</v>
      </c>
      <c r="B269" t="s">
        <v>323</v>
      </c>
      <c r="C269" t="s">
        <v>23</v>
      </c>
      <c r="D269" t="s">
        <v>15</v>
      </c>
      <c r="E269" t="s">
        <v>489</v>
      </c>
      <c r="F269" t="s">
        <v>490</v>
      </c>
      <c r="G269" s="6">
        <v>46149</v>
      </c>
      <c r="H269" t="s">
        <v>18</v>
      </c>
      <c r="I269" s="13" t="s">
        <v>19</v>
      </c>
      <c r="J269">
        <f t="shared" si="5"/>
        <v>100</v>
      </c>
    </row>
    <row r="270" spans="1:13" hidden="1">
      <c r="A270" s="6">
        <v>46149</v>
      </c>
      <c r="B270" t="s">
        <v>290</v>
      </c>
      <c r="C270" t="s">
        <v>162</v>
      </c>
      <c r="D270" t="s">
        <v>176</v>
      </c>
      <c r="E270" t="s">
        <v>427</v>
      </c>
      <c r="F270" t="s">
        <v>491</v>
      </c>
      <c r="G270" s="6">
        <v>46149</v>
      </c>
      <c r="H270" t="s">
        <v>57</v>
      </c>
      <c r="I270" s="13" t="s">
        <v>19</v>
      </c>
      <c r="J270">
        <f t="shared" si="5"/>
        <v>100</v>
      </c>
    </row>
    <row r="271" spans="1:13" hidden="1">
      <c r="A271" s="6">
        <v>46149</v>
      </c>
      <c r="B271" t="s">
        <v>290</v>
      </c>
      <c r="C271" t="s">
        <v>162</v>
      </c>
      <c r="D271" t="s">
        <v>176</v>
      </c>
      <c r="E271" t="s">
        <v>467</v>
      </c>
      <c r="F271" t="s">
        <v>492</v>
      </c>
      <c r="G271" s="6">
        <v>46149</v>
      </c>
      <c r="H271" t="s">
        <v>57</v>
      </c>
      <c r="I271" s="13" t="s">
        <v>19</v>
      </c>
      <c r="J271">
        <f t="shared" si="5"/>
        <v>100</v>
      </c>
    </row>
    <row r="272" spans="1:13" hidden="1">
      <c r="A272" s="6">
        <v>46149</v>
      </c>
      <c r="B272" t="s">
        <v>493</v>
      </c>
      <c r="C272" t="s">
        <v>162</v>
      </c>
      <c r="D272" t="s">
        <v>179</v>
      </c>
      <c r="E272" t="s">
        <v>494</v>
      </c>
      <c r="F272" t="s">
        <v>495</v>
      </c>
      <c r="G272" s="6">
        <v>46149</v>
      </c>
      <c r="H272" t="s">
        <v>57</v>
      </c>
      <c r="I272" s="13" t="s">
        <v>19</v>
      </c>
      <c r="J272">
        <f t="shared" si="5"/>
        <v>100</v>
      </c>
    </row>
    <row r="273" spans="1:13" hidden="1">
      <c r="A273" s="6">
        <v>46149</v>
      </c>
      <c r="B273" t="s">
        <v>496</v>
      </c>
      <c r="C273" t="s">
        <v>497</v>
      </c>
      <c r="D273" t="s">
        <v>498</v>
      </c>
      <c r="E273" t="s">
        <v>499</v>
      </c>
      <c r="F273" t="s">
        <v>500</v>
      </c>
      <c r="G273" s="6">
        <v>46149</v>
      </c>
      <c r="H273" t="s">
        <v>57</v>
      </c>
      <c r="I273" s="13" t="s">
        <v>19</v>
      </c>
      <c r="J273">
        <f t="shared" si="5"/>
        <v>100</v>
      </c>
      <c r="K273" t="s">
        <v>483</v>
      </c>
    </row>
    <row r="274" spans="1:13" hidden="1">
      <c r="A274" s="6">
        <v>46149</v>
      </c>
      <c r="B274" t="s">
        <v>170</v>
      </c>
      <c r="C274" t="s">
        <v>171</v>
      </c>
      <c r="D274" t="s">
        <v>15</v>
      </c>
      <c r="E274" t="s">
        <v>237</v>
      </c>
      <c r="F274" t="s">
        <v>282</v>
      </c>
      <c r="G274" s="6">
        <v>46149</v>
      </c>
      <c r="H274" t="s">
        <v>18</v>
      </c>
      <c r="I274" s="13" t="s">
        <v>19</v>
      </c>
      <c r="J274">
        <f t="shared" si="5"/>
        <v>100</v>
      </c>
    </row>
    <row r="275" spans="1:13" hidden="1">
      <c r="A275" s="6">
        <v>46149</v>
      </c>
      <c r="B275" t="s">
        <v>349</v>
      </c>
      <c r="C275" t="s">
        <v>23</v>
      </c>
      <c r="D275" t="s">
        <v>15</v>
      </c>
      <c r="E275" t="s">
        <v>501</v>
      </c>
      <c r="F275" t="s">
        <v>502</v>
      </c>
      <c r="G275" s="6">
        <v>46149</v>
      </c>
      <c r="H275" t="s">
        <v>57</v>
      </c>
      <c r="I275" s="13" t="s">
        <v>19</v>
      </c>
      <c r="J275">
        <f t="shared" si="5"/>
        <v>100</v>
      </c>
    </row>
    <row r="276" spans="1:13" hidden="1">
      <c r="A276" s="6">
        <v>46150</v>
      </c>
      <c r="B276" t="s">
        <v>242</v>
      </c>
      <c r="C276" t="s">
        <v>339</v>
      </c>
      <c r="D276" t="s">
        <v>340</v>
      </c>
      <c r="E276" t="s">
        <v>503</v>
      </c>
      <c r="F276" t="s">
        <v>504</v>
      </c>
      <c r="G276" s="6">
        <v>46150</v>
      </c>
      <c r="H276" t="s">
        <v>18</v>
      </c>
      <c r="I276" s="13" t="s">
        <v>19</v>
      </c>
      <c r="J276">
        <f t="shared" si="5"/>
        <v>100</v>
      </c>
      <c r="K276" s="11"/>
      <c r="M276" s="11" t="s">
        <v>505</v>
      </c>
    </row>
    <row r="277" spans="1:13" hidden="1">
      <c r="A277" s="6">
        <v>46150</v>
      </c>
      <c r="B277" t="s">
        <v>458</v>
      </c>
      <c r="C277" t="s">
        <v>162</v>
      </c>
      <c r="D277" t="s">
        <v>166</v>
      </c>
      <c r="E277" t="s">
        <v>506</v>
      </c>
      <c r="F277" t="s">
        <v>507</v>
      </c>
      <c r="G277" s="6">
        <v>46150</v>
      </c>
      <c r="H277" t="s">
        <v>57</v>
      </c>
      <c r="I277" s="13" t="s">
        <v>19</v>
      </c>
      <c r="J277">
        <f t="shared" si="5"/>
        <v>100</v>
      </c>
    </row>
    <row r="278" spans="1:13" hidden="1">
      <c r="A278" s="6">
        <v>46150</v>
      </c>
      <c r="B278" t="s">
        <v>242</v>
      </c>
      <c r="C278" t="s">
        <v>339</v>
      </c>
      <c r="D278" t="s">
        <v>340</v>
      </c>
      <c r="E278" t="s">
        <v>503</v>
      </c>
      <c r="F278" t="s">
        <v>508</v>
      </c>
      <c r="G278" s="6">
        <v>46150</v>
      </c>
      <c r="H278" t="s">
        <v>57</v>
      </c>
      <c r="I278" s="13" t="s">
        <v>19</v>
      </c>
      <c r="J278">
        <f t="shared" si="5"/>
        <v>100</v>
      </c>
    </row>
    <row r="279" spans="1:13" hidden="1">
      <c r="A279" s="6">
        <v>46150</v>
      </c>
      <c r="B279" t="s">
        <v>242</v>
      </c>
      <c r="C279" t="s">
        <v>339</v>
      </c>
      <c r="D279" t="s">
        <v>340</v>
      </c>
      <c r="E279" t="s">
        <v>503</v>
      </c>
      <c r="F279" t="s">
        <v>509</v>
      </c>
      <c r="G279" s="6">
        <v>46150</v>
      </c>
      <c r="H279" t="s">
        <v>18</v>
      </c>
      <c r="I279" s="13" t="s">
        <v>19</v>
      </c>
      <c r="J279">
        <f t="shared" si="5"/>
        <v>100</v>
      </c>
      <c r="K279" t="s">
        <v>510</v>
      </c>
    </row>
    <row r="280" spans="1:13" hidden="1">
      <c r="A280" s="6">
        <v>46150</v>
      </c>
      <c r="B280" t="s">
        <v>389</v>
      </c>
      <c r="C280" t="s">
        <v>271</v>
      </c>
      <c r="D280" t="s">
        <v>15</v>
      </c>
      <c r="E280" t="s">
        <v>511</v>
      </c>
      <c r="F280" t="s">
        <v>512</v>
      </c>
      <c r="G280" s="6">
        <v>46150</v>
      </c>
      <c r="H280" t="s">
        <v>57</v>
      </c>
      <c r="I280" s="13" t="s">
        <v>19</v>
      </c>
      <c r="J280">
        <f t="shared" si="5"/>
        <v>100</v>
      </c>
      <c r="K280" t="s">
        <v>513</v>
      </c>
    </row>
    <row r="281" spans="1:13" ht="15" hidden="1">
      <c r="A281" s="6">
        <v>46150</v>
      </c>
      <c r="B281" t="s">
        <v>389</v>
      </c>
      <c r="C281" t="s">
        <v>514</v>
      </c>
      <c r="D281" t="s">
        <v>15</v>
      </c>
      <c r="E281" t="s">
        <v>82</v>
      </c>
      <c r="F281" s="7" t="s">
        <v>515</v>
      </c>
      <c r="G281" s="6">
        <v>46150</v>
      </c>
      <c r="H281" t="s">
        <v>516</v>
      </c>
      <c r="I281" s="13" t="s">
        <v>19</v>
      </c>
      <c r="J281">
        <f t="shared" si="5"/>
        <v>100</v>
      </c>
    </row>
    <row r="282" spans="1:13" hidden="1">
      <c r="A282" s="6">
        <v>46150</v>
      </c>
      <c r="B282" t="s">
        <v>458</v>
      </c>
      <c r="C282" t="s">
        <v>162</v>
      </c>
      <c r="D282" t="s">
        <v>166</v>
      </c>
      <c r="E282" t="s">
        <v>517</v>
      </c>
      <c r="F282" t="s">
        <v>518</v>
      </c>
      <c r="G282" s="6">
        <v>46150</v>
      </c>
      <c r="H282" t="s">
        <v>57</v>
      </c>
      <c r="I282" s="13" t="s">
        <v>19</v>
      </c>
      <c r="J282">
        <f t="shared" si="5"/>
        <v>100</v>
      </c>
    </row>
    <row r="283" spans="1:13" hidden="1">
      <c r="A283" s="6">
        <v>46150</v>
      </c>
      <c r="B283" t="s">
        <v>283</v>
      </c>
      <c r="C283" t="s">
        <v>203</v>
      </c>
      <c r="D283" t="s">
        <v>176</v>
      </c>
      <c r="E283" t="s">
        <v>368</v>
      </c>
      <c r="F283" t="s">
        <v>519</v>
      </c>
      <c r="G283" s="6">
        <v>46150</v>
      </c>
      <c r="H283" t="s">
        <v>520</v>
      </c>
      <c r="I283" s="13" t="s">
        <v>19</v>
      </c>
      <c r="J283">
        <f t="shared" si="5"/>
        <v>100</v>
      </c>
    </row>
    <row r="284" spans="1:13" hidden="1">
      <c r="A284" s="6">
        <v>46150</v>
      </c>
      <c r="B284" t="s">
        <v>234</v>
      </c>
      <c r="C284" t="s">
        <v>162</v>
      </c>
      <c r="D284" t="s">
        <v>176</v>
      </c>
      <c r="E284" t="s">
        <v>427</v>
      </c>
      <c r="F284" t="s">
        <v>521</v>
      </c>
      <c r="G284" s="6">
        <v>46150</v>
      </c>
      <c r="H284" t="s">
        <v>18</v>
      </c>
      <c r="I284" s="13" t="s">
        <v>19</v>
      </c>
      <c r="J284">
        <f t="shared" si="5"/>
        <v>100</v>
      </c>
    </row>
    <row r="285" spans="1:13" hidden="1">
      <c r="A285" s="6">
        <v>46150</v>
      </c>
      <c r="B285" t="s">
        <v>222</v>
      </c>
      <c r="C285" t="s">
        <v>162</v>
      </c>
      <c r="D285" t="s">
        <v>179</v>
      </c>
      <c r="E285" t="s">
        <v>427</v>
      </c>
      <c r="F285" t="s">
        <v>522</v>
      </c>
      <c r="G285" s="6">
        <v>46150</v>
      </c>
      <c r="H285" t="s">
        <v>523</v>
      </c>
      <c r="I285" s="13" t="s">
        <v>19</v>
      </c>
      <c r="J285">
        <f t="shared" si="5"/>
        <v>100</v>
      </c>
    </row>
    <row r="286" spans="1:13" hidden="1">
      <c r="A286" s="6">
        <v>46150</v>
      </c>
      <c r="B286" t="s">
        <v>234</v>
      </c>
      <c r="C286" t="s">
        <v>162</v>
      </c>
      <c r="D286" t="s">
        <v>176</v>
      </c>
      <c r="E286" t="s">
        <v>467</v>
      </c>
      <c r="F286" t="s">
        <v>524</v>
      </c>
      <c r="G286" s="6">
        <v>46150</v>
      </c>
      <c r="H286" t="s">
        <v>18</v>
      </c>
      <c r="I286" s="13" t="s">
        <v>19</v>
      </c>
      <c r="J286">
        <f t="shared" si="5"/>
        <v>100</v>
      </c>
    </row>
    <row r="287" spans="1:13" hidden="1">
      <c r="A287" s="6">
        <v>46150</v>
      </c>
      <c r="B287" t="s">
        <v>222</v>
      </c>
      <c r="C287" t="s">
        <v>162</v>
      </c>
      <c r="D287" t="s">
        <v>179</v>
      </c>
      <c r="E287" t="s">
        <v>525</v>
      </c>
      <c r="F287" t="s">
        <v>526</v>
      </c>
      <c r="G287" s="6">
        <v>46150</v>
      </c>
      <c r="H287" t="s">
        <v>18</v>
      </c>
      <c r="I287" s="13" t="s">
        <v>19</v>
      </c>
      <c r="J287">
        <f t="shared" si="5"/>
        <v>100</v>
      </c>
      <c r="M287" s="11" t="s">
        <v>527</v>
      </c>
    </row>
    <row r="288" spans="1:13" hidden="1">
      <c r="A288" s="6">
        <v>46150</v>
      </c>
      <c r="B288" t="s">
        <v>528</v>
      </c>
      <c r="C288" t="s">
        <v>162</v>
      </c>
      <c r="D288" t="s">
        <v>176</v>
      </c>
      <c r="E288" t="s">
        <v>427</v>
      </c>
      <c r="F288" t="s">
        <v>529</v>
      </c>
      <c r="G288" s="6">
        <v>46150</v>
      </c>
      <c r="H288" t="s">
        <v>18</v>
      </c>
      <c r="I288" s="13" t="s">
        <v>19</v>
      </c>
      <c r="J288">
        <f t="shared" si="5"/>
        <v>100</v>
      </c>
    </row>
    <row r="289" spans="1:11">
      <c r="A289" s="6">
        <v>46150</v>
      </c>
      <c r="B289" t="s">
        <v>389</v>
      </c>
      <c r="C289" t="s">
        <v>271</v>
      </c>
      <c r="D289" t="s">
        <v>15</v>
      </c>
      <c r="E289" t="s">
        <v>530</v>
      </c>
      <c r="F289" t="s">
        <v>531</v>
      </c>
      <c r="G289" s="6">
        <v>46153</v>
      </c>
      <c r="H289" t="s">
        <v>57</v>
      </c>
      <c r="I289" t="s">
        <v>51</v>
      </c>
      <c r="J289">
        <f t="shared" si="5"/>
        <v>50</v>
      </c>
    </row>
    <row r="290" spans="1:11" ht="15" hidden="1">
      <c r="A290" s="6">
        <v>46150</v>
      </c>
      <c r="B290" t="s">
        <v>389</v>
      </c>
      <c r="C290" t="s">
        <v>271</v>
      </c>
      <c r="D290" t="s">
        <v>15</v>
      </c>
      <c r="E290" t="s">
        <v>532</v>
      </c>
      <c r="F290" s="7" t="s">
        <v>533</v>
      </c>
      <c r="G290" s="6">
        <v>46150</v>
      </c>
      <c r="H290" t="s">
        <v>57</v>
      </c>
      <c r="I290" s="13" t="s">
        <v>19</v>
      </c>
      <c r="J290">
        <f t="shared" si="5"/>
        <v>100</v>
      </c>
    </row>
    <row r="291" spans="1:11" hidden="1">
      <c r="A291" s="6">
        <v>46150</v>
      </c>
      <c r="B291" t="s">
        <v>266</v>
      </c>
      <c r="C291" t="s">
        <v>203</v>
      </c>
      <c r="D291" t="s">
        <v>176</v>
      </c>
      <c r="E291" t="s">
        <v>427</v>
      </c>
      <c r="F291" t="s">
        <v>534</v>
      </c>
      <c r="G291" s="6">
        <v>46150</v>
      </c>
      <c r="H291" t="s">
        <v>57</v>
      </c>
      <c r="I291" s="13" t="s">
        <v>19</v>
      </c>
      <c r="J291">
        <f t="shared" si="5"/>
        <v>100</v>
      </c>
      <c r="K291" t="s">
        <v>535</v>
      </c>
    </row>
    <row r="292" spans="1:11" hidden="1">
      <c r="A292" s="6">
        <v>46150</v>
      </c>
      <c r="B292" t="s">
        <v>536</v>
      </c>
      <c r="C292" t="s">
        <v>203</v>
      </c>
      <c r="D292" t="s">
        <v>176</v>
      </c>
      <c r="E292" t="s">
        <v>427</v>
      </c>
      <c r="F292" t="s">
        <v>537</v>
      </c>
      <c r="G292" s="6">
        <v>46150</v>
      </c>
      <c r="H292" t="s">
        <v>57</v>
      </c>
      <c r="I292" s="13" t="s">
        <v>19</v>
      </c>
      <c r="J292">
        <f t="shared" si="5"/>
        <v>100</v>
      </c>
      <c r="K292" t="s">
        <v>535</v>
      </c>
    </row>
    <row r="293" spans="1:11" hidden="1">
      <c r="A293" s="6">
        <v>46150</v>
      </c>
      <c r="B293" t="s">
        <v>178</v>
      </c>
      <c r="C293" t="s">
        <v>162</v>
      </c>
      <c r="D293" t="s">
        <v>179</v>
      </c>
      <c r="E293" t="s">
        <v>383</v>
      </c>
      <c r="F293" t="s">
        <v>538</v>
      </c>
      <c r="G293" s="2">
        <v>46150</v>
      </c>
      <c r="H293" t="s">
        <v>57</v>
      </c>
      <c r="I293" s="13" t="s">
        <v>539</v>
      </c>
      <c r="J293">
        <f t="shared" si="5"/>
        <v>100</v>
      </c>
    </row>
    <row r="294" spans="1:11" hidden="1">
      <c r="A294" s="6">
        <v>46150</v>
      </c>
      <c r="B294" t="s">
        <v>178</v>
      </c>
      <c r="C294" t="s">
        <v>162</v>
      </c>
      <c r="D294" t="s">
        <v>179</v>
      </c>
      <c r="E294" t="s">
        <v>180</v>
      </c>
      <c r="F294" t="s">
        <v>540</v>
      </c>
      <c r="G294" s="2">
        <v>46150</v>
      </c>
      <c r="H294" t="s">
        <v>541</v>
      </c>
      <c r="I294" s="13" t="s">
        <v>19</v>
      </c>
      <c r="J294">
        <f t="shared" si="5"/>
        <v>100</v>
      </c>
    </row>
    <row r="295" spans="1:11" hidden="1">
      <c r="A295" s="6">
        <v>46150</v>
      </c>
      <c r="B295" t="s">
        <v>165</v>
      </c>
      <c r="C295" t="s">
        <v>162</v>
      </c>
      <c r="D295" t="s">
        <v>166</v>
      </c>
      <c r="E295" t="s">
        <v>542</v>
      </c>
      <c r="F295" t="s">
        <v>543</v>
      </c>
      <c r="G295" s="6">
        <v>46150</v>
      </c>
      <c r="H295" t="s">
        <v>57</v>
      </c>
      <c r="I295" s="13" t="s">
        <v>19</v>
      </c>
      <c r="J295">
        <f t="shared" si="5"/>
        <v>100</v>
      </c>
    </row>
    <row r="296" spans="1:11" hidden="1">
      <c r="A296" s="6">
        <v>46150</v>
      </c>
      <c r="B296" t="s">
        <v>170</v>
      </c>
      <c r="C296" t="s">
        <v>171</v>
      </c>
      <c r="D296" t="s">
        <v>15</v>
      </c>
      <c r="E296" t="s">
        <v>237</v>
      </c>
      <c r="F296" t="s">
        <v>239</v>
      </c>
      <c r="G296" s="6">
        <v>46150</v>
      </c>
      <c r="H296" t="s">
        <v>18</v>
      </c>
      <c r="I296" s="13" t="s">
        <v>19</v>
      </c>
      <c r="J296">
        <f t="shared" si="5"/>
        <v>100</v>
      </c>
    </row>
    <row r="297" spans="1:11" hidden="1">
      <c r="A297" s="6">
        <v>46150</v>
      </c>
      <c r="B297" t="s">
        <v>343</v>
      </c>
      <c r="C297" t="s">
        <v>39</v>
      </c>
      <c r="D297" t="s">
        <v>15</v>
      </c>
      <c r="E297" t="s">
        <v>40</v>
      </c>
      <c r="F297" t="s">
        <v>41</v>
      </c>
      <c r="G297" s="6">
        <v>46150</v>
      </c>
      <c r="H297" t="s">
        <v>18</v>
      </c>
      <c r="I297" s="13" t="s">
        <v>19</v>
      </c>
      <c r="J297">
        <f t="shared" si="5"/>
        <v>100</v>
      </c>
      <c r="K297" t="s">
        <v>544</v>
      </c>
    </row>
    <row r="298" spans="1:11" hidden="1">
      <c r="A298" s="6">
        <v>46150</v>
      </c>
      <c r="B298" t="s">
        <v>290</v>
      </c>
      <c r="C298" t="s">
        <v>162</v>
      </c>
      <c r="D298" t="s">
        <v>176</v>
      </c>
      <c r="E298" t="s">
        <v>427</v>
      </c>
      <c r="F298" t="s">
        <v>545</v>
      </c>
      <c r="G298" s="6">
        <v>46150</v>
      </c>
      <c r="H298" t="s">
        <v>57</v>
      </c>
      <c r="I298" s="13" t="s">
        <v>19</v>
      </c>
      <c r="J298">
        <f t="shared" si="5"/>
        <v>100</v>
      </c>
    </row>
    <row r="299" spans="1:11" hidden="1">
      <c r="A299" s="6">
        <v>46150</v>
      </c>
      <c r="B299" t="s">
        <v>290</v>
      </c>
      <c r="C299" t="s">
        <v>162</v>
      </c>
      <c r="D299" t="s">
        <v>176</v>
      </c>
      <c r="E299" t="s">
        <v>440</v>
      </c>
      <c r="F299" t="s">
        <v>546</v>
      </c>
      <c r="G299" s="6">
        <v>46150</v>
      </c>
      <c r="H299" t="s">
        <v>57</v>
      </c>
      <c r="I299" s="13" t="s">
        <v>19</v>
      </c>
      <c r="J299">
        <f t="shared" si="5"/>
        <v>100</v>
      </c>
    </row>
    <row r="300" spans="1:11" hidden="1">
      <c r="A300" s="6">
        <v>46150</v>
      </c>
      <c r="B300" t="s">
        <v>170</v>
      </c>
      <c r="C300" t="s">
        <v>171</v>
      </c>
      <c r="D300" t="s">
        <v>15</v>
      </c>
      <c r="E300" t="s">
        <v>237</v>
      </c>
      <c r="F300" t="s">
        <v>547</v>
      </c>
      <c r="G300" s="6">
        <v>46150</v>
      </c>
      <c r="H300" s="22" t="s">
        <v>18</v>
      </c>
      <c r="I300" s="13" t="s">
        <v>19</v>
      </c>
      <c r="J300">
        <f t="shared" si="5"/>
        <v>100</v>
      </c>
    </row>
    <row r="301" spans="1:11" hidden="1">
      <c r="A301" s="6">
        <v>46150</v>
      </c>
      <c r="B301" t="s">
        <v>170</v>
      </c>
      <c r="C301" t="s">
        <v>171</v>
      </c>
      <c r="D301" t="s">
        <v>15</v>
      </c>
      <c r="E301" t="s">
        <v>237</v>
      </c>
      <c r="F301" t="s">
        <v>239</v>
      </c>
      <c r="G301" s="6">
        <v>46150</v>
      </c>
      <c r="H301" t="s">
        <v>18</v>
      </c>
      <c r="I301" s="13" t="s">
        <v>19</v>
      </c>
      <c r="J301">
        <f t="shared" si="5"/>
        <v>100</v>
      </c>
    </row>
    <row r="302" spans="1:11" hidden="1">
      <c r="A302" s="6">
        <v>46150</v>
      </c>
      <c r="B302" t="s">
        <v>260</v>
      </c>
      <c r="C302" t="s">
        <v>162</v>
      </c>
      <c r="D302" t="s">
        <v>179</v>
      </c>
      <c r="E302" t="s">
        <v>427</v>
      </c>
      <c r="F302" t="s">
        <v>548</v>
      </c>
      <c r="G302" s="6">
        <v>46150</v>
      </c>
      <c r="H302" t="s">
        <v>18</v>
      </c>
      <c r="I302" s="13" t="s">
        <v>19</v>
      </c>
      <c r="J302">
        <f t="shared" si="5"/>
        <v>100</v>
      </c>
    </row>
    <row r="303" spans="1:11">
      <c r="A303" s="6">
        <v>46150</v>
      </c>
      <c r="B303" t="s">
        <v>536</v>
      </c>
      <c r="C303" t="s">
        <v>203</v>
      </c>
      <c r="D303" t="s">
        <v>176</v>
      </c>
      <c r="E303" t="s">
        <v>467</v>
      </c>
      <c r="F303" t="s">
        <v>549</v>
      </c>
      <c r="G303" s="6">
        <v>46150</v>
      </c>
      <c r="H303" t="s">
        <v>57</v>
      </c>
      <c r="I303" t="s">
        <v>550</v>
      </c>
      <c r="J303">
        <f t="shared" si="5"/>
        <v>50</v>
      </c>
    </row>
    <row r="304" spans="1:11" hidden="1">
      <c r="A304" s="6">
        <v>46150</v>
      </c>
      <c r="B304" t="s">
        <v>165</v>
      </c>
      <c r="C304" t="s">
        <v>162</v>
      </c>
      <c r="D304" t="s">
        <v>166</v>
      </c>
      <c r="E304" t="s">
        <v>467</v>
      </c>
      <c r="F304" t="s">
        <v>551</v>
      </c>
      <c r="G304" s="6">
        <v>46150</v>
      </c>
      <c r="H304" t="s">
        <v>552</v>
      </c>
      <c r="I304" s="13" t="s">
        <v>539</v>
      </c>
      <c r="J304">
        <f t="shared" si="5"/>
        <v>100</v>
      </c>
    </row>
    <row r="305" spans="1:11" hidden="1">
      <c r="A305" s="6">
        <v>46150</v>
      </c>
      <c r="B305" t="s">
        <v>553</v>
      </c>
      <c r="C305" t="s">
        <v>162</v>
      </c>
      <c r="D305" t="s">
        <v>176</v>
      </c>
      <c r="E305" t="s">
        <v>467</v>
      </c>
      <c r="F305" t="s">
        <v>551</v>
      </c>
      <c r="G305" s="6">
        <v>46150</v>
      </c>
      <c r="H305" t="s">
        <v>552</v>
      </c>
      <c r="I305" s="13" t="s">
        <v>539</v>
      </c>
      <c r="J305">
        <f t="shared" si="5"/>
        <v>100</v>
      </c>
    </row>
    <row r="306" spans="1:11" hidden="1">
      <c r="A306" s="6">
        <v>46150</v>
      </c>
      <c r="B306" t="s">
        <v>266</v>
      </c>
      <c r="C306" t="s">
        <v>162</v>
      </c>
      <c r="D306" t="s">
        <v>176</v>
      </c>
      <c r="E306" t="s">
        <v>467</v>
      </c>
      <c r="F306" t="s">
        <v>551</v>
      </c>
      <c r="G306" s="6">
        <v>46150</v>
      </c>
      <c r="H306" t="s">
        <v>552</v>
      </c>
      <c r="I306" s="13" t="s">
        <v>539</v>
      </c>
      <c r="J306">
        <f t="shared" si="5"/>
        <v>100</v>
      </c>
    </row>
    <row r="307" spans="1:11" hidden="1">
      <c r="A307" s="6">
        <v>46150</v>
      </c>
      <c r="B307" t="s">
        <v>426</v>
      </c>
      <c r="C307" t="s">
        <v>162</v>
      </c>
      <c r="D307" t="s">
        <v>166</v>
      </c>
      <c r="E307" t="s">
        <v>467</v>
      </c>
      <c r="F307" t="s">
        <v>551</v>
      </c>
      <c r="G307" s="6">
        <v>46150</v>
      </c>
      <c r="H307" t="s">
        <v>552</v>
      </c>
      <c r="I307" s="13" t="s">
        <v>539</v>
      </c>
      <c r="J307">
        <f t="shared" si="5"/>
        <v>100</v>
      </c>
    </row>
    <row r="308" spans="1:11" ht="15" hidden="1" customHeight="1">
      <c r="A308" s="6">
        <v>46150</v>
      </c>
      <c r="B308" t="s">
        <v>107</v>
      </c>
      <c r="C308" t="s">
        <v>108</v>
      </c>
      <c r="D308" t="s">
        <v>15</v>
      </c>
      <c r="E308" t="s">
        <v>127</v>
      </c>
      <c r="F308" t="s">
        <v>554</v>
      </c>
      <c r="H308" t="s">
        <v>523</v>
      </c>
      <c r="I308" s="13" t="s">
        <v>19</v>
      </c>
      <c r="J308">
        <f t="shared" si="5"/>
        <v>100</v>
      </c>
      <c r="K308" s="44" t="s">
        <v>555</v>
      </c>
    </row>
    <row r="309" spans="1:11" ht="14.25" hidden="1">
      <c r="A309" s="6">
        <v>46150</v>
      </c>
      <c r="B309" t="s">
        <v>107</v>
      </c>
      <c r="C309" t="s">
        <v>108</v>
      </c>
      <c r="D309" t="s">
        <v>15</v>
      </c>
      <c r="E309" t="s">
        <v>127</v>
      </c>
      <c r="F309" s="23" t="s">
        <v>556</v>
      </c>
      <c r="H309" t="s">
        <v>523</v>
      </c>
      <c r="I309" s="13" t="s">
        <v>19</v>
      </c>
      <c r="J309">
        <f t="shared" si="5"/>
        <v>100</v>
      </c>
      <c r="K309" s="44"/>
    </row>
    <row r="310" spans="1:11" ht="15" hidden="1" customHeight="1">
      <c r="A310" s="6">
        <v>46150</v>
      </c>
      <c r="B310" t="s">
        <v>107</v>
      </c>
      <c r="C310" t="s">
        <v>108</v>
      </c>
      <c r="D310" t="s">
        <v>15</v>
      </c>
      <c r="E310" t="s">
        <v>127</v>
      </c>
      <c r="F310" t="s">
        <v>557</v>
      </c>
      <c r="H310" t="s">
        <v>523</v>
      </c>
      <c r="I310" s="13" t="s">
        <v>19</v>
      </c>
      <c r="J310">
        <f t="shared" si="5"/>
        <v>100</v>
      </c>
      <c r="K310" s="44"/>
    </row>
    <row r="311" spans="1:11" ht="15" customHeight="1">
      <c r="A311" s="6">
        <v>46150</v>
      </c>
      <c r="B311" t="s">
        <v>107</v>
      </c>
      <c r="C311" t="s">
        <v>108</v>
      </c>
      <c r="D311" t="s">
        <v>15</v>
      </c>
      <c r="E311" t="s">
        <v>127</v>
      </c>
      <c r="F311" t="s">
        <v>558</v>
      </c>
      <c r="H311" t="s">
        <v>523</v>
      </c>
      <c r="I311" s="13" t="s">
        <v>51</v>
      </c>
      <c r="J311">
        <f t="shared" si="5"/>
        <v>50</v>
      </c>
      <c r="K311" s="44"/>
    </row>
    <row r="312" spans="1:11" ht="27.75" hidden="1" customHeight="1">
      <c r="A312" s="6">
        <v>46150</v>
      </c>
      <c r="B312" t="s">
        <v>107</v>
      </c>
      <c r="C312" t="s">
        <v>108</v>
      </c>
      <c r="D312" t="s">
        <v>15</v>
      </c>
      <c r="E312" t="s">
        <v>127</v>
      </c>
      <c r="F312" t="s">
        <v>559</v>
      </c>
      <c r="H312" t="s">
        <v>523</v>
      </c>
      <c r="I312" s="13" t="s">
        <v>19</v>
      </c>
      <c r="J312">
        <f t="shared" si="5"/>
        <v>100</v>
      </c>
      <c r="K312" s="24" t="s">
        <v>560</v>
      </c>
    </row>
    <row r="313" spans="1:11" ht="15" customHeight="1">
      <c r="A313" s="6">
        <v>46150</v>
      </c>
      <c r="B313" t="s">
        <v>107</v>
      </c>
      <c r="C313" t="s">
        <v>108</v>
      </c>
      <c r="D313" t="s">
        <v>15</v>
      </c>
      <c r="E313" t="s">
        <v>127</v>
      </c>
      <c r="F313" t="s">
        <v>561</v>
      </c>
      <c r="H313" t="s">
        <v>523</v>
      </c>
      <c r="I313" t="s">
        <v>550</v>
      </c>
      <c r="J313">
        <f t="shared" si="5"/>
        <v>50</v>
      </c>
      <c r="K313" s="25"/>
    </row>
    <row r="314" spans="1:11" ht="15" hidden="1" customHeight="1">
      <c r="A314" s="6">
        <v>46150</v>
      </c>
      <c r="B314" t="s">
        <v>107</v>
      </c>
      <c r="C314" t="s">
        <v>108</v>
      </c>
      <c r="D314" t="s">
        <v>15</v>
      </c>
      <c r="E314" t="s">
        <v>131</v>
      </c>
      <c r="F314" t="s">
        <v>562</v>
      </c>
      <c r="H314" t="s">
        <v>523</v>
      </c>
      <c r="I314" t="s">
        <v>19</v>
      </c>
      <c r="J314">
        <f t="shared" si="5"/>
        <v>100</v>
      </c>
    </row>
    <row r="315" spans="1:11" hidden="1">
      <c r="A315" s="6">
        <v>46150</v>
      </c>
      <c r="B315" t="s">
        <v>107</v>
      </c>
      <c r="C315" t="s">
        <v>108</v>
      </c>
      <c r="D315" t="s">
        <v>15</v>
      </c>
      <c r="E315" t="s">
        <v>131</v>
      </c>
      <c r="F315" t="s">
        <v>563</v>
      </c>
      <c r="H315" t="s">
        <v>523</v>
      </c>
      <c r="I315" t="s">
        <v>19</v>
      </c>
      <c r="J315">
        <f t="shared" si="5"/>
        <v>100</v>
      </c>
    </row>
    <row r="316" spans="1:11" hidden="1">
      <c r="A316" s="6">
        <v>46150</v>
      </c>
      <c r="B316" t="s">
        <v>349</v>
      </c>
      <c r="C316" t="s">
        <v>23</v>
      </c>
      <c r="E316" t="s">
        <v>564</v>
      </c>
      <c r="F316" t="s">
        <v>565</v>
      </c>
      <c r="H316" t="s">
        <v>57</v>
      </c>
      <c r="I316" s="13" t="s">
        <v>19</v>
      </c>
      <c r="J316">
        <f t="shared" si="5"/>
        <v>100</v>
      </c>
    </row>
    <row r="317" spans="1:11" hidden="1">
      <c r="A317" s="6">
        <v>46150</v>
      </c>
      <c r="B317" t="s">
        <v>170</v>
      </c>
      <c r="C317" t="s">
        <v>171</v>
      </c>
      <c r="D317" t="s">
        <v>15</v>
      </c>
      <c r="E317" t="s">
        <v>237</v>
      </c>
      <c r="F317" t="s">
        <v>282</v>
      </c>
      <c r="G317" s="6">
        <v>46150</v>
      </c>
      <c r="H317" t="s">
        <v>18</v>
      </c>
      <c r="I317" s="13" t="s">
        <v>19</v>
      </c>
      <c r="J317">
        <f t="shared" si="5"/>
        <v>100</v>
      </c>
    </row>
    <row r="318" spans="1:11" hidden="1">
      <c r="A318" s="6">
        <v>46150</v>
      </c>
      <c r="B318" t="s">
        <v>283</v>
      </c>
      <c r="C318" t="s">
        <v>162</v>
      </c>
      <c r="D318" t="s">
        <v>176</v>
      </c>
      <c r="E318" t="s">
        <v>467</v>
      </c>
      <c r="F318" t="s">
        <v>566</v>
      </c>
      <c r="G318" s="4" t="s">
        <v>567</v>
      </c>
      <c r="H318" t="s">
        <v>57</v>
      </c>
      <c r="I318" s="13" t="s">
        <v>19</v>
      </c>
      <c r="J318">
        <f t="shared" si="5"/>
        <v>100</v>
      </c>
    </row>
    <row r="319" spans="1:11" hidden="1">
      <c r="A319" s="6">
        <v>46150</v>
      </c>
      <c r="B319" t="s">
        <v>496</v>
      </c>
      <c r="C319" t="s">
        <v>497</v>
      </c>
      <c r="D319" t="s">
        <v>498</v>
      </c>
      <c r="E319" t="s">
        <v>499</v>
      </c>
      <c r="F319" t="s">
        <v>500</v>
      </c>
      <c r="G319" s="6">
        <v>46149</v>
      </c>
      <c r="H319" t="s">
        <v>18</v>
      </c>
      <c r="I319" s="13" t="s">
        <v>539</v>
      </c>
      <c r="J319">
        <f t="shared" si="5"/>
        <v>100</v>
      </c>
      <c r="K319" t="s">
        <v>483</v>
      </c>
    </row>
    <row r="320" spans="1:11" hidden="1">
      <c r="A320" s="6">
        <v>46150</v>
      </c>
      <c r="B320" t="s">
        <v>536</v>
      </c>
      <c r="C320" t="s">
        <v>203</v>
      </c>
      <c r="D320" t="s">
        <v>176</v>
      </c>
      <c r="E320" t="s">
        <v>467</v>
      </c>
      <c r="F320" t="s">
        <v>568</v>
      </c>
      <c r="G320" s="6">
        <v>46150</v>
      </c>
      <c r="H320" t="s">
        <v>57</v>
      </c>
      <c r="I320" s="13" t="s">
        <v>539</v>
      </c>
      <c r="J320">
        <f t="shared" si="5"/>
        <v>100</v>
      </c>
      <c r="K320" t="s">
        <v>483</v>
      </c>
    </row>
    <row r="321" spans="1:13" hidden="1">
      <c r="A321" s="6">
        <v>46151</v>
      </c>
      <c r="B321" t="s">
        <v>234</v>
      </c>
      <c r="C321" t="s">
        <v>162</v>
      </c>
      <c r="D321" t="s">
        <v>176</v>
      </c>
      <c r="E321" t="s">
        <v>427</v>
      </c>
      <c r="F321" t="s">
        <v>569</v>
      </c>
      <c r="G321" s="6">
        <v>46151</v>
      </c>
      <c r="H321" t="s">
        <v>516</v>
      </c>
      <c r="I321" s="13" t="s">
        <v>19</v>
      </c>
      <c r="J321">
        <f t="shared" si="5"/>
        <v>100</v>
      </c>
    </row>
    <row r="322" spans="1:13" hidden="1">
      <c r="A322" s="6">
        <v>46151</v>
      </c>
      <c r="B322" t="s">
        <v>234</v>
      </c>
      <c r="C322" t="s">
        <v>162</v>
      </c>
      <c r="D322" t="s">
        <v>176</v>
      </c>
      <c r="E322" t="s">
        <v>467</v>
      </c>
      <c r="F322" t="s">
        <v>570</v>
      </c>
      <c r="G322" s="6">
        <v>46151</v>
      </c>
      <c r="H322" t="s">
        <v>516</v>
      </c>
      <c r="I322" s="13" t="s">
        <v>539</v>
      </c>
      <c r="J322">
        <f t="shared" si="5"/>
        <v>100</v>
      </c>
    </row>
    <row r="323" spans="1:13" hidden="1">
      <c r="A323" s="6">
        <v>46151</v>
      </c>
      <c r="B323" t="s">
        <v>234</v>
      </c>
      <c r="C323" t="s">
        <v>162</v>
      </c>
      <c r="D323" t="s">
        <v>176</v>
      </c>
      <c r="E323" t="s">
        <v>571</v>
      </c>
      <c r="F323" t="s">
        <v>572</v>
      </c>
      <c r="G323" s="6">
        <v>46151</v>
      </c>
      <c r="H323" t="s">
        <v>57</v>
      </c>
      <c r="I323" s="13" t="s">
        <v>539</v>
      </c>
      <c r="J323">
        <f t="shared" si="5"/>
        <v>100</v>
      </c>
    </row>
    <row r="324" spans="1:13" hidden="1">
      <c r="A324" s="6">
        <v>46151</v>
      </c>
      <c r="B324" t="s">
        <v>222</v>
      </c>
      <c r="C324" t="s">
        <v>162</v>
      </c>
      <c r="D324" t="s">
        <v>179</v>
      </c>
      <c r="E324" t="s">
        <v>226</v>
      </c>
      <c r="F324" t="s">
        <v>573</v>
      </c>
      <c r="G324" s="6">
        <v>46151</v>
      </c>
      <c r="H324" t="s">
        <v>18</v>
      </c>
      <c r="I324" s="13" t="s">
        <v>19</v>
      </c>
      <c r="J324">
        <f t="shared" si="5"/>
        <v>100</v>
      </c>
    </row>
    <row r="325" spans="1:13" hidden="1">
      <c r="A325" s="6">
        <v>46151</v>
      </c>
      <c r="B325" t="s">
        <v>222</v>
      </c>
      <c r="C325" t="s">
        <v>162</v>
      </c>
      <c r="D325" t="s">
        <v>179</v>
      </c>
      <c r="E325" t="s">
        <v>247</v>
      </c>
      <c r="F325" t="s">
        <v>574</v>
      </c>
      <c r="G325" s="6">
        <v>46151</v>
      </c>
      <c r="H325" t="s">
        <v>57</v>
      </c>
      <c r="I325" s="13" t="s">
        <v>19</v>
      </c>
      <c r="J325">
        <f t="shared" si="5"/>
        <v>100</v>
      </c>
      <c r="M325" s="11" t="s">
        <v>575</v>
      </c>
    </row>
    <row r="326" spans="1:13" hidden="1">
      <c r="B326" s="27"/>
      <c r="C326" t="s">
        <v>162</v>
      </c>
      <c r="D326" t="s">
        <v>176</v>
      </c>
      <c r="E326" t="s">
        <v>542</v>
      </c>
      <c r="F326" t="s">
        <v>576</v>
      </c>
      <c r="G326" s="6">
        <v>46151</v>
      </c>
      <c r="H326" t="s">
        <v>57</v>
      </c>
      <c r="I326" s="13" t="s">
        <v>19</v>
      </c>
      <c r="J326">
        <f t="shared" si="5"/>
        <v>100</v>
      </c>
      <c r="K326" t="s">
        <v>577</v>
      </c>
    </row>
    <row r="327" spans="1:13" hidden="1">
      <c r="A327" s="6">
        <v>46151</v>
      </c>
      <c r="B327" t="s">
        <v>260</v>
      </c>
      <c r="C327" t="s">
        <v>162</v>
      </c>
      <c r="D327" t="s">
        <v>179</v>
      </c>
      <c r="E327" t="s">
        <v>578</v>
      </c>
      <c r="F327" t="s">
        <v>579</v>
      </c>
      <c r="G327" s="6">
        <v>46151</v>
      </c>
      <c r="H327" t="s">
        <v>552</v>
      </c>
      <c r="I327" s="13" t="s">
        <v>539</v>
      </c>
      <c r="J327">
        <f t="shared" si="5"/>
        <v>100</v>
      </c>
    </row>
    <row r="328" spans="1:13" hidden="1">
      <c r="A328" s="6">
        <v>46151</v>
      </c>
      <c r="B328" t="s">
        <v>290</v>
      </c>
      <c r="C328" t="s">
        <v>162</v>
      </c>
      <c r="D328" t="s">
        <v>176</v>
      </c>
      <c r="E328" t="s">
        <v>578</v>
      </c>
      <c r="F328" t="s">
        <v>579</v>
      </c>
      <c r="G328" s="6">
        <v>46151</v>
      </c>
      <c r="H328" t="s">
        <v>552</v>
      </c>
      <c r="I328" s="13" t="s">
        <v>19</v>
      </c>
      <c r="J328">
        <f t="shared" si="5"/>
        <v>100</v>
      </c>
    </row>
    <row r="329" spans="1:13" hidden="1">
      <c r="A329" s="6">
        <v>46151</v>
      </c>
      <c r="B329" t="s">
        <v>234</v>
      </c>
      <c r="C329" t="s">
        <v>162</v>
      </c>
      <c r="D329" t="s">
        <v>176</v>
      </c>
      <c r="E329" t="s">
        <v>467</v>
      </c>
      <c r="F329" t="s">
        <v>580</v>
      </c>
      <c r="G329" s="6">
        <v>46151</v>
      </c>
      <c r="H329" t="s">
        <v>541</v>
      </c>
      <c r="I329" s="13" t="s">
        <v>19</v>
      </c>
      <c r="J329">
        <f t="shared" si="5"/>
        <v>100</v>
      </c>
    </row>
    <row r="330" spans="1:13" hidden="1">
      <c r="A330" s="6">
        <v>46152</v>
      </c>
      <c r="B330" t="s">
        <v>424</v>
      </c>
      <c r="C330" t="s">
        <v>162</v>
      </c>
      <c r="D330" t="s">
        <v>176</v>
      </c>
      <c r="E330" t="s">
        <v>581</v>
      </c>
      <c r="F330" t="s">
        <v>582</v>
      </c>
      <c r="G330" s="6">
        <v>46152</v>
      </c>
      <c r="H330" t="s">
        <v>57</v>
      </c>
      <c r="I330" s="13" t="s">
        <v>19</v>
      </c>
      <c r="J330">
        <f t="shared" ref="J330:J393" si="6">IF(I330="Completed",100,IF(I330="Ongoing",50,IF(I330="For Review",75,IF(I330="Delayed",30,0))))</f>
        <v>100</v>
      </c>
      <c r="K330" t="s">
        <v>483</v>
      </c>
    </row>
    <row r="331" spans="1:13" hidden="1">
      <c r="A331" s="6">
        <v>46153</v>
      </c>
      <c r="B331" t="s">
        <v>424</v>
      </c>
      <c r="C331" t="s">
        <v>162</v>
      </c>
      <c r="D331" t="s">
        <v>176</v>
      </c>
      <c r="E331" t="s">
        <v>467</v>
      </c>
      <c r="F331" t="s">
        <v>583</v>
      </c>
      <c r="G331" s="6">
        <v>46153</v>
      </c>
      <c r="H331" t="s">
        <v>18</v>
      </c>
      <c r="I331" s="13" t="s">
        <v>19</v>
      </c>
      <c r="J331">
        <f t="shared" si="6"/>
        <v>100</v>
      </c>
    </row>
    <row r="332" spans="1:13" hidden="1">
      <c r="A332" s="6">
        <v>46153</v>
      </c>
      <c r="B332" t="s">
        <v>178</v>
      </c>
      <c r="C332" t="s">
        <v>162</v>
      </c>
      <c r="D332" t="s">
        <v>179</v>
      </c>
      <c r="E332" t="s">
        <v>383</v>
      </c>
      <c r="F332" t="s">
        <v>584</v>
      </c>
      <c r="G332" s="2">
        <v>46153</v>
      </c>
      <c r="H332" t="s">
        <v>18</v>
      </c>
      <c r="I332" s="13" t="s">
        <v>19</v>
      </c>
      <c r="J332">
        <f t="shared" si="6"/>
        <v>100</v>
      </c>
    </row>
    <row r="333" spans="1:13" hidden="1">
      <c r="A333" s="6">
        <v>46153</v>
      </c>
      <c r="B333" t="s">
        <v>250</v>
      </c>
      <c r="C333" t="s">
        <v>162</v>
      </c>
      <c r="D333" t="s">
        <v>166</v>
      </c>
      <c r="E333" t="s">
        <v>585</v>
      </c>
      <c r="F333" t="s">
        <v>586</v>
      </c>
      <c r="G333" s="2">
        <v>46153</v>
      </c>
      <c r="H333" t="s">
        <v>18</v>
      </c>
      <c r="I333" s="13" t="s">
        <v>19</v>
      </c>
      <c r="J333">
        <f t="shared" si="6"/>
        <v>100</v>
      </c>
    </row>
    <row r="334" spans="1:13" hidden="1">
      <c r="A334" s="6">
        <v>46153</v>
      </c>
      <c r="B334" t="s">
        <v>311</v>
      </c>
      <c r="C334" t="s">
        <v>162</v>
      </c>
      <c r="D334" t="s">
        <v>163</v>
      </c>
      <c r="E334" t="s">
        <v>427</v>
      </c>
      <c r="F334" t="s">
        <v>587</v>
      </c>
      <c r="G334" s="6">
        <v>46154</v>
      </c>
      <c r="H334" t="s">
        <v>18</v>
      </c>
      <c r="I334" t="s">
        <v>19</v>
      </c>
      <c r="J334">
        <f t="shared" si="6"/>
        <v>100</v>
      </c>
    </row>
    <row r="335" spans="1:13" hidden="1">
      <c r="A335" s="6">
        <v>46153</v>
      </c>
      <c r="B335" t="s">
        <v>222</v>
      </c>
      <c r="C335" t="s">
        <v>162</v>
      </c>
      <c r="D335" t="s">
        <v>179</v>
      </c>
      <c r="E335" t="s">
        <v>585</v>
      </c>
      <c r="F335" t="s">
        <v>588</v>
      </c>
      <c r="G335" s="6">
        <v>46153</v>
      </c>
      <c r="H335" t="s">
        <v>18</v>
      </c>
      <c r="I335" s="13" t="s">
        <v>19</v>
      </c>
      <c r="J335">
        <f t="shared" si="6"/>
        <v>100</v>
      </c>
      <c r="K335" t="s">
        <v>589</v>
      </c>
    </row>
    <row r="336" spans="1:13" hidden="1">
      <c r="A336" s="6">
        <v>46153</v>
      </c>
      <c r="B336" t="s">
        <v>222</v>
      </c>
      <c r="C336" t="s">
        <v>162</v>
      </c>
      <c r="D336" t="s">
        <v>179</v>
      </c>
      <c r="E336" t="s">
        <v>427</v>
      </c>
      <c r="F336" t="s">
        <v>587</v>
      </c>
      <c r="G336" s="6">
        <v>46153</v>
      </c>
      <c r="H336" t="s">
        <v>18</v>
      </c>
      <c r="I336" s="13" t="s">
        <v>19</v>
      </c>
      <c r="J336">
        <f t="shared" si="6"/>
        <v>100</v>
      </c>
      <c r="M336" s="11" t="s">
        <v>590</v>
      </c>
    </row>
    <row r="337" spans="1:13" hidden="1">
      <c r="A337" s="6">
        <v>46153</v>
      </c>
      <c r="B337" t="s">
        <v>343</v>
      </c>
      <c r="C337" t="s">
        <v>39</v>
      </c>
      <c r="D337" t="s">
        <v>15</v>
      </c>
      <c r="E337" t="s">
        <v>40</v>
      </c>
      <c r="F337" t="s">
        <v>591</v>
      </c>
      <c r="G337" s="6">
        <v>46153</v>
      </c>
      <c r="H337" t="s">
        <v>541</v>
      </c>
      <c r="I337" s="13" t="s">
        <v>19</v>
      </c>
      <c r="J337">
        <f t="shared" si="6"/>
        <v>100</v>
      </c>
      <c r="K337" t="s">
        <v>592</v>
      </c>
    </row>
    <row r="338" spans="1:13" hidden="1">
      <c r="A338" s="6">
        <v>46153</v>
      </c>
      <c r="B338" t="s">
        <v>323</v>
      </c>
      <c r="C338" t="s">
        <v>23</v>
      </c>
      <c r="D338" t="s">
        <v>15</v>
      </c>
      <c r="E338" t="s">
        <v>593</v>
      </c>
      <c r="F338" t="s">
        <v>594</v>
      </c>
      <c r="G338" s="6">
        <v>46153</v>
      </c>
      <c r="H338" t="s">
        <v>541</v>
      </c>
      <c r="I338" s="13" t="s">
        <v>19</v>
      </c>
      <c r="J338">
        <f t="shared" si="6"/>
        <v>100</v>
      </c>
    </row>
    <row r="339" spans="1:13" hidden="1">
      <c r="A339" s="6">
        <v>46153</v>
      </c>
      <c r="B339" t="s">
        <v>234</v>
      </c>
      <c r="C339" t="s">
        <v>162</v>
      </c>
      <c r="D339" t="s">
        <v>176</v>
      </c>
      <c r="E339" t="s">
        <v>595</v>
      </c>
      <c r="F339" t="s">
        <v>331</v>
      </c>
      <c r="G339" s="6">
        <v>46153</v>
      </c>
      <c r="H339" t="s">
        <v>541</v>
      </c>
      <c r="I339" s="13" t="s">
        <v>539</v>
      </c>
      <c r="J339">
        <f t="shared" si="6"/>
        <v>100</v>
      </c>
    </row>
    <row r="340" spans="1:13" hidden="1">
      <c r="A340" s="6">
        <v>46153</v>
      </c>
      <c r="B340" t="s">
        <v>234</v>
      </c>
      <c r="C340" t="s">
        <v>162</v>
      </c>
      <c r="D340" t="s">
        <v>176</v>
      </c>
      <c r="E340" t="s">
        <v>467</v>
      </c>
      <c r="F340" t="s">
        <v>596</v>
      </c>
      <c r="G340" s="6">
        <v>46153</v>
      </c>
      <c r="H340" t="s">
        <v>541</v>
      </c>
      <c r="I340" s="13" t="s">
        <v>19</v>
      </c>
      <c r="J340">
        <f t="shared" si="6"/>
        <v>100</v>
      </c>
    </row>
    <row r="341" spans="1:13" hidden="1">
      <c r="A341" s="6">
        <v>46153</v>
      </c>
      <c r="B341" t="s">
        <v>178</v>
      </c>
      <c r="C341" t="s">
        <v>162</v>
      </c>
      <c r="D341" t="s">
        <v>179</v>
      </c>
      <c r="E341" t="s">
        <v>226</v>
      </c>
      <c r="F341" t="s">
        <v>597</v>
      </c>
      <c r="G341" s="6">
        <v>46153</v>
      </c>
      <c r="H341" t="s">
        <v>552</v>
      </c>
      <c r="I341" s="13" t="s">
        <v>19</v>
      </c>
      <c r="J341">
        <f t="shared" si="6"/>
        <v>100</v>
      </c>
    </row>
    <row r="342" spans="1:13" hidden="1">
      <c r="A342" s="6">
        <v>46153</v>
      </c>
      <c r="B342" t="s">
        <v>26</v>
      </c>
      <c r="C342" t="s">
        <v>23</v>
      </c>
      <c r="D342" t="s">
        <v>15</v>
      </c>
      <c r="E342" t="s">
        <v>598</v>
      </c>
      <c r="F342">
        <v>0</v>
      </c>
      <c r="G342" s="6">
        <v>46161</v>
      </c>
      <c r="H342" t="s">
        <v>18</v>
      </c>
      <c r="I342" s="13" t="s">
        <v>19</v>
      </c>
      <c r="J342">
        <f t="shared" si="6"/>
        <v>100</v>
      </c>
      <c r="K342" t="s">
        <v>599</v>
      </c>
    </row>
    <row r="343" spans="1:13" hidden="1">
      <c r="A343" s="6">
        <v>46153</v>
      </c>
      <c r="B343" t="s">
        <v>266</v>
      </c>
      <c r="C343" t="s">
        <v>162</v>
      </c>
      <c r="D343" t="s">
        <v>176</v>
      </c>
      <c r="E343" t="s">
        <v>301</v>
      </c>
      <c r="F343" t="s">
        <v>315</v>
      </c>
      <c r="G343" s="6">
        <v>46153</v>
      </c>
      <c r="H343" t="s">
        <v>552</v>
      </c>
      <c r="I343" s="13" t="s">
        <v>19</v>
      </c>
      <c r="J343">
        <f t="shared" si="6"/>
        <v>100</v>
      </c>
      <c r="M343" s="11" t="s">
        <v>600</v>
      </c>
    </row>
    <row r="344" spans="1:13" hidden="1">
      <c r="A344" s="6">
        <v>46153</v>
      </c>
      <c r="B344" t="s">
        <v>178</v>
      </c>
      <c r="C344" t="s">
        <v>162</v>
      </c>
      <c r="D344" t="s">
        <v>179</v>
      </c>
      <c r="E344" t="s">
        <v>301</v>
      </c>
      <c r="F344" t="s">
        <v>601</v>
      </c>
      <c r="G344" s="6">
        <v>46153</v>
      </c>
      <c r="H344" t="s">
        <v>552</v>
      </c>
      <c r="I344" s="13" t="s">
        <v>19</v>
      </c>
      <c r="J344">
        <f t="shared" si="6"/>
        <v>100</v>
      </c>
      <c r="K344" t="s">
        <v>386</v>
      </c>
      <c r="L344" s="11" t="s">
        <v>602</v>
      </c>
    </row>
    <row r="345" spans="1:13" hidden="1">
      <c r="A345" s="6">
        <v>46153</v>
      </c>
      <c r="B345" t="s">
        <v>603</v>
      </c>
      <c r="C345" t="s">
        <v>271</v>
      </c>
      <c r="D345" t="s">
        <v>15</v>
      </c>
      <c r="E345" t="s">
        <v>604</v>
      </c>
      <c r="F345" t="s">
        <v>605</v>
      </c>
      <c r="G345" s="6">
        <v>46153</v>
      </c>
      <c r="H345" t="s">
        <v>516</v>
      </c>
      <c r="I345" s="13" t="s">
        <v>19</v>
      </c>
      <c r="J345">
        <f t="shared" si="6"/>
        <v>100</v>
      </c>
    </row>
    <row r="346" spans="1:13" ht="15" hidden="1">
      <c r="A346" s="6">
        <v>46153</v>
      </c>
      <c r="B346" t="s">
        <v>603</v>
      </c>
      <c r="C346" s="7" t="s">
        <v>271</v>
      </c>
      <c r="D346" s="7" t="s">
        <v>15</v>
      </c>
      <c r="E346" s="7" t="s">
        <v>604</v>
      </c>
      <c r="F346" t="s">
        <v>606</v>
      </c>
      <c r="G346" s="6">
        <v>46153</v>
      </c>
      <c r="H346" t="s">
        <v>57</v>
      </c>
      <c r="I346" s="13" t="s">
        <v>19</v>
      </c>
      <c r="J346">
        <f t="shared" si="6"/>
        <v>100</v>
      </c>
    </row>
    <row r="347" spans="1:13" hidden="1">
      <c r="A347" s="6">
        <v>46153</v>
      </c>
      <c r="B347" t="s">
        <v>607</v>
      </c>
      <c r="C347" t="s">
        <v>514</v>
      </c>
      <c r="D347" t="s">
        <v>15</v>
      </c>
      <c r="E347" t="s">
        <v>604</v>
      </c>
      <c r="F347" t="s">
        <v>608</v>
      </c>
      <c r="G347" s="6">
        <v>46153</v>
      </c>
      <c r="H347" t="s">
        <v>57</v>
      </c>
      <c r="I347" s="13" t="s">
        <v>19</v>
      </c>
      <c r="J347">
        <f t="shared" si="6"/>
        <v>100</v>
      </c>
    </row>
    <row r="348" spans="1:13">
      <c r="A348" s="6">
        <v>46153</v>
      </c>
      <c r="B348" t="s">
        <v>536</v>
      </c>
      <c r="C348" t="s">
        <v>162</v>
      </c>
      <c r="D348" t="s">
        <v>176</v>
      </c>
      <c r="E348" t="s">
        <v>609</v>
      </c>
      <c r="F348" t="s">
        <v>610</v>
      </c>
      <c r="G348" s="6">
        <v>46154</v>
      </c>
      <c r="H348" t="s">
        <v>523</v>
      </c>
      <c r="I348" t="s">
        <v>51</v>
      </c>
      <c r="J348">
        <f t="shared" si="6"/>
        <v>50</v>
      </c>
    </row>
    <row r="349" spans="1:13" hidden="1">
      <c r="A349" s="6">
        <v>46153</v>
      </c>
      <c r="B349" t="s">
        <v>165</v>
      </c>
      <c r="C349" t="s">
        <v>162</v>
      </c>
      <c r="D349" t="s">
        <v>166</v>
      </c>
      <c r="E349" t="s">
        <v>301</v>
      </c>
      <c r="F349" t="s">
        <v>611</v>
      </c>
      <c r="G349" s="6">
        <v>46153</v>
      </c>
      <c r="H349" t="s">
        <v>552</v>
      </c>
      <c r="I349" s="13" t="s">
        <v>19</v>
      </c>
      <c r="J349">
        <f t="shared" si="6"/>
        <v>100</v>
      </c>
    </row>
    <row r="350" spans="1:13" hidden="1">
      <c r="A350" s="6">
        <v>46153</v>
      </c>
      <c r="B350" t="s">
        <v>165</v>
      </c>
      <c r="C350" t="s">
        <v>162</v>
      </c>
      <c r="D350" t="s">
        <v>166</v>
      </c>
      <c r="E350" t="s">
        <v>467</v>
      </c>
      <c r="F350" t="s">
        <v>612</v>
      </c>
      <c r="G350" s="6">
        <v>46153</v>
      </c>
      <c r="H350" t="s">
        <v>552</v>
      </c>
      <c r="I350" s="13" t="s">
        <v>19</v>
      </c>
      <c r="J350">
        <f t="shared" si="6"/>
        <v>100</v>
      </c>
    </row>
    <row r="351" spans="1:13">
      <c r="A351" s="6">
        <v>46153</v>
      </c>
      <c r="B351" t="s">
        <v>536</v>
      </c>
      <c r="C351" t="s">
        <v>162</v>
      </c>
      <c r="D351" t="s">
        <v>176</v>
      </c>
      <c r="E351" t="s">
        <v>613</v>
      </c>
      <c r="F351" t="s">
        <v>614</v>
      </c>
      <c r="G351" s="6">
        <v>46154</v>
      </c>
      <c r="H351" t="s">
        <v>523</v>
      </c>
      <c r="I351" t="s">
        <v>51</v>
      </c>
      <c r="J351">
        <f t="shared" si="6"/>
        <v>50</v>
      </c>
    </row>
    <row r="352" spans="1:13" hidden="1">
      <c r="A352" s="6">
        <v>46153</v>
      </c>
      <c r="B352" t="s">
        <v>615</v>
      </c>
      <c r="C352" t="s">
        <v>327</v>
      </c>
      <c r="D352" t="s">
        <v>176</v>
      </c>
      <c r="E352" t="s">
        <v>616</v>
      </c>
      <c r="F352" t="s">
        <v>617</v>
      </c>
      <c r="G352" s="6">
        <v>46153</v>
      </c>
      <c r="H352" t="s">
        <v>57</v>
      </c>
      <c r="I352" s="13" t="s">
        <v>19</v>
      </c>
      <c r="J352">
        <f t="shared" si="6"/>
        <v>100</v>
      </c>
    </row>
    <row r="353" spans="1:13" hidden="1">
      <c r="A353" s="6">
        <v>46153</v>
      </c>
      <c r="B353" t="s">
        <v>615</v>
      </c>
      <c r="C353" t="s">
        <v>327</v>
      </c>
      <c r="D353" t="s">
        <v>176</v>
      </c>
      <c r="E353" t="s">
        <v>618</v>
      </c>
      <c r="F353" t="s">
        <v>619</v>
      </c>
      <c r="G353" s="6">
        <v>46153</v>
      </c>
      <c r="H353" t="s">
        <v>18</v>
      </c>
      <c r="I353" s="13" t="s">
        <v>19</v>
      </c>
      <c r="J353">
        <f t="shared" si="6"/>
        <v>100</v>
      </c>
    </row>
    <row r="354" spans="1:13" hidden="1">
      <c r="A354" s="6">
        <v>46153</v>
      </c>
      <c r="B354" t="s">
        <v>178</v>
      </c>
      <c r="C354" t="s">
        <v>162</v>
      </c>
      <c r="D354" t="s">
        <v>179</v>
      </c>
      <c r="E354" t="s">
        <v>387</v>
      </c>
      <c r="F354" t="s">
        <v>620</v>
      </c>
      <c r="G354" s="6">
        <v>46153</v>
      </c>
      <c r="H354" t="s">
        <v>18</v>
      </c>
      <c r="I354" s="13" t="s">
        <v>19</v>
      </c>
      <c r="J354">
        <f t="shared" si="6"/>
        <v>100</v>
      </c>
      <c r="K354" t="s">
        <v>386</v>
      </c>
      <c r="M354" s="11" t="s">
        <v>621</v>
      </c>
    </row>
    <row r="355" spans="1:13" hidden="1">
      <c r="A355" s="6">
        <v>46153</v>
      </c>
      <c r="B355" t="s">
        <v>615</v>
      </c>
      <c r="C355" t="s">
        <v>327</v>
      </c>
      <c r="D355" t="s">
        <v>176</v>
      </c>
      <c r="E355" t="s">
        <v>622</v>
      </c>
      <c r="F355" t="s">
        <v>623</v>
      </c>
      <c r="G355" s="6">
        <v>46153</v>
      </c>
      <c r="H355" t="s">
        <v>18</v>
      </c>
      <c r="I355" s="13" t="s">
        <v>19</v>
      </c>
      <c r="J355">
        <f t="shared" si="6"/>
        <v>100</v>
      </c>
    </row>
    <row r="356" spans="1:13" hidden="1">
      <c r="A356" s="6">
        <v>46153</v>
      </c>
      <c r="B356" t="s">
        <v>222</v>
      </c>
      <c r="C356" t="s">
        <v>162</v>
      </c>
      <c r="D356" t="s">
        <v>179</v>
      </c>
      <c r="E356" t="s">
        <v>616</v>
      </c>
      <c r="F356" t="s">
        <v>624</v>
      </c>
      <c r="G356" s="6">
        <v>46153</v>
      </c>
      <c r="H356" t="s">
        <v>18</v>
      </c>
      <c r="I356" t="s">
        <v>19</v>
      </c>
      <c r="J356">
        <f t="shared" si="6"/>
        <v>100</v>
      </c>
      <c r="K356" t="s">
        <v>625</v>
      </c>
    </row>
    <row r="357" spans="1:13" hidden="1">
      <c r="A357" s="6">
        <v>46153</v>
      </c>
      <c r="B357" t="s">
        <v>250</v>
      </c>
      <c r="C357" t="s">
        <v>162</v>
      </c>
      <c r="D357" t="s">
        <v>166</v>
      </c>
      <c r="E357" t="s">
        <v>626</v>
      </c>
      <c r="F357" t="s">
        <v>627</v>
      </c>
      <c r="G357" s="6">
        <v>46153</v>
      </c>
      <c r="H357" t="s">
        <v>57</v>
      </c>
      <c r="I357" s="13" t="s">
        <v>19</v>
      </c>
      <c r="J357">
        <f t="shared" si="6"/>
        <v>100</v>
      </c>
    </row>
    <row r="358" spans="1:13" hidden="1">
      <c r="A358" s="6">
        <v>46154</v>
      </c>
      <c r="B358" t="s">
        <v>536</v>
      </c>
      <c r="C358" t="s">
        <v>162</v>
      </c>
      <c r="D358" t="s">
        <v>176</v>
      </c>
      <c r="E358" t="s">
        <v>301</v>
      </c>
      <c r="F358" t="s">
        <v>628</v>
      </c>
      <c r="G358" s="6">
        <v>46154</v>
      </c>
      <c r="H358" t="s">
        <v>57</v>
      </c>
      <c r="I358" s="13" t="s">
        <v>19</v>
      </c>
      <c r="J358">
        <f t="shared" si="6"/>
        <v>100</v>
      </c>
    </row>
    <row r="359" spans="1:13" hidden="1">
      <c r="A359" s="6">
        <v>46153</v>
      </c>
      <c r="B359" t="s">
        <v>170</v>
      </c>
      <c r="C359" t="s">
        <v>171</v>
      </c>
      <c r="D359" t="s">
        <v>15</v>
      </c>
      <c r="E359" t="s">
        <v>629</v>
      </c>
      <c r="F359" t="s">
        <v>630</v>
      </c>
      <c r="G359" s="6">
        <v>46153</v>
      </c>
      <c r="H359" t="s">
        <v>57</v>
      </c>
      <c r="I359" s="13" t="s">
        <v>19</v>
      </c>
      <c r="J359">
        <f t="shared" si="6"/>
        <v>100</v>
      </c>
    </row>
    <row r="360" spans="1:13" hidden="1">
      <c r="A360" s="6">
        <v>46153</v>
      </c>
      <c r="B360" t="s">
        <v>222</v>
      </c>
      <c r="C360" t="s">
        <v>162</v>
      </c>
      <c r="D360" t="s">
        <v>179</v>
      </c>
      <c r="E360" t="s">
        <v>387</v>
      </c>
      <c r="F360" t="s">
        <v>631</v>
      </c>
      <c r="G360" s="6">
        <v>46153</v>
      </c>
      <c r="H360" t="s">
        <v>18</v>
      </c>
      <c r="I360" s="13" t="s">
        <v>19</v>
      </c>
      <c r="J360">
        <f t="shared" si="6"/>
        <v>100</v>
      </c>
    </row>
    <row r="361" spans="1:13" hidden="1">
      <c r="A361" s="6">
        <v>46153</v>
      </c>
      <c r="B361" t="s">
        <v>170</v>
      </c>
      <c r="C361" t="s">
        <v>171</v>
      </c>
      <c r="D361" t="s">
        <v>15</v>
      </c>
      <c r="E361" t="s">
        <v>632</v>
      </c>
      <c r="F361" t="s">
        <v>633</v>
      </c>
      <c r="G361" s="6">
        <v>46153</v>
      </c>
      <c r="H361" t="s">
        <v>57</v>
      </c>
      <c r="I361" s="13" t="s">
        <v>19</v>
      </c>
      <c r="J361">
        <f t="shared" si="6"/>
        <v>100</v>
      </c>
    </row>
    <row r="362" spans="1:13" hidden="1">
      <c r="A362" s="6">
        <v>46153</v>
      </c>
      <c r="B362" t="s">
        <v>156</v>
      </c>
      <c r="C362" t="s">
        <v>157</v>
      </c>
      <c r="D362" t="s">
        <v>15</v>
      </c>
      <c r="E362" t="s">
        <v>82</v>
      </c>
      <c r="F362" t="s">
        <v>634</v>
      </c>
      <c r="G362" s="6">
        <v>46153</v>
      </c>
      <c r="H362" t="s">
        <v>18</v>
      </c>
      <c r="I362" s="13" t="s">
        <v>19</v>
      </c>
      <c r="J362">
        <f t="shared" si="6"/>
        <v>100</v>
      </c>
    </row>
    <row r="363" spans="1:13" hidden="1">
      <c r="A363" s="6">
        <v>46153</v>
      </c>
      <c r="B363" t="s">
        <v>156</v>
      </c>
      <c r="C363" t="s">
        <v>157</v>
      </c>
      <c r="D363" t="s">
        <v>15</v>
      </c>
      <c r="E363" t="s">
        <v>409</v>
      </c>
      <c r="F363" t="s">
        <v>635</v>
      </c>
      <c r="G363" s="6">
        <v>46153</v>
      </c>
      <c r="H363" t="s">
        <v>18</v>
      </c>
      <c r="I363" s="13" t="s">
        <v>19</v>
      </c>
      <c r="J363">
        <f t="shared" si="6"/>
        <v>100</v>
      </c>
    </row>
    <row r="364" spans="1:13" hidden="1">
      <c r="A364" s="6">
        <v>46153</v>
      </c>
      <c r="B364" t="s">
        <v>266</v>
      </c>
      <c r="C364" t="s">
        <v>162</v>
      </c>
      <c r="D364" t="s">
        <v>176</v>
      </c>
      <c r="E364" t="s">
        <v>467</v>
      </c>
      <c r="F364" t="s">
        <v>636</v>
      </c>
      <c r="G364" s="6">
        <v>46153</v>
      </c>
      <c r="H364" t="s">
        <v>552</v>
      </c>
      <c r="I364" s="13" t="s">
        <v>19</v>
      </c>
      <c r="J364">
        <f t="shared" si="6"/>
        <v>100</v>
      </c>
      <c r="M364" s="11" t="s">
        <v>600</v>
      </c>
    </row>
    <row r="365" spans="1:13" hidden="1">
      <c r="A365" s="6">
        <v>46153</v>
      </c>
      <c r="B365" t="s">
        <v>165</v>
      </c>
      <c r="C365" t="s">
        <v>162</v>
      </c>
      <c r="D365" t="s">
        <v>166</v>
      </c>
      <c r="E365" t="s">
        <v>467</v>
      </c>
      <c r="F365" t="s">
        <v>636</v>
      </c>
      <c r="G365" s="6">
        <v>46153</v>
      </c>
      <c r="H365" t="s">
        <v>552</v>
      </c>
      <c r="I365" s="13" t="s">
        <v>19</v>
      </c>
      <c r="J365">
        <f t="shared" si="6"/>
        <v>100</v>
      </c>
    </row>
    <row r="366" spans="1:13" hidden="1">
      <c r="A366" s="6">
        <v>46153</v>
      </c>
      <c r="B366" t="s">
        <v>186</v>
      </c>
      <c r="C366" t="s">
        <v>162</v>
      </c>
      <c r="D366" t="s">
        <v>166</v>
      </c>
      <c r="E366" t="s">
        <v>187</v>
      </c>
      <c r="F366" t="s">
        <v>636</v>
      </c>
      <c r="G366" s="6">
        <v>46153</v>
      </c>
      <c r="H366" t="s">
        <v>57</v>
      </c>
      <c r="I366" s="13" t="s">
        <v>19</v>
      </c>
      <c r="J366">
        <f t="shared" si="6"/>
        <v>100</v>
      </c>
    </row>
    <row r="367" spans="1:13" hidden="1">
      <c r="A367" s="6">
        <v>46153</v>
      </c>
      <c r="B367" t="s">
        <v>186</v>
      </c>
      <c r="C367" t="s">
        <v>162</v>
      </c>
      <c r="D367" t="s">
        <v>166</v>
      </c>
      <c r="E367" t="s">
        <v>637</v>
      </c>
      <c r="F367" t="s">
        <v>638</v>
      </c>
      <c r="G367" s="6">
        <v>46153</v>
      </c>
      <c r="H367" t="s">
        <v>57</v>
      </c>
      <c r="I367" s="13" t="s">
        <v>19</v>
      </c>
      <c r="J367">
        <f t="shared" si="6"/>
        <v>100</v>
      </c>
    </row>
    <row r="368" spans="1:13" hidden="1">
      <c r="A368" s="6">
        <v>46153</v>
      </c>
      <c r="B368" t="s">
        <v>536</v>
      </c>
      <c r="C368" t="s">
        <v>162</v>
      </c>
      <c r="D368" t="s">
        <v>176</v>
      </c>
      <c r="E368" t="s">
        <v>639</v>
      </c>
      <c r="F368" t="s">
        <v>640</v>
      </c>
      <c r="G368" s="6">
        <v>46153</v>
      </c>
      <c r="H368" t="s">
        <v>57</v>
      </c>
      <c r="I368" s="13" t="s">
        <v>19</v>
      </c>
      <c r="J368">
        <f t="shared" si="6"/>
        <v>100</v>
      </c>
    </row>
    <row r="369" spans="1:13" hidden="1">
      <c r="A369" s="6">
        <v>46153</v>
      </c>
      <c r="B369" t="s">
        <v>290</v>
      </c>
      <c r="C369" t="s">
        <v>162</v>
      </c>
      <c r="D369" t="s">
        <v>176</v>
      </c>
      <c r="E369" t="s">
        <v>187</v>
      </c>
      <c r="F369" t="s">
        <v>641</v>
      </c>
      <c r="G369" s="6">
        <v>46153</v>
      </c>
      <c r="H369" t="s">
        <v>57</v>
      </c>
      <c r="I369" s="13" t="s">
        <v>19</v>
      </c>
      <c r="J369">
        <f t="shared" si="6"/>
        <v>100</v>
      </c>
    </row>
    <row r="370" spans="1:13" hidden="1">
      <c r="A370" s="6">
        <v>46153</v>
      </c>
      <c r="B370" t="s">
        <v>290</v>
      </c>
      <c r="C370" t="s">
        <v>162</v>
      </c>
      <c r="D370" t="s">
        <v>176</v>
      </c>
      <c r="E370" t="s">
        <v>642</v>
      </c>
      <c r="F370" t="s">
        <v>643</v>
      </c>
      <c r="G370" s="6">
        <v>46153</v>
      </c>
      <c r="H370" t="s">
        <v>57</v>
      </c>
      <c r="I370" s="13" t="s">
        <v>19</v>
      </c>
      <c r="J370">
        <f t="shared" si="6"/>
        <v>100</v>
      </c>
    </row>
    <row r="371" spans="1:13" hidden="1">
      <c r="A371" s="6">
        <v>46153</v>
      </c>
      <c r="B371" t="s">
        <v>290</v>
      </c>
      <c r="C371" t="s">
        <v>162</v>
      </c>
      <c r="D371" t="s">
        <v>176</v>
      </c>
      <c r="E371" t="s">
        <v>644</v>
      </c>
      <c r="F371" t="s">
        <v>645</v>
      </c>
      <c r="G371" s="6">
        <v>46153</v>
      </c>
      <c r="H371" t="s">
        <v>57</v>
      </c>
      <c r="I371" s="13" t="s">
        <v>19</v>
      </c>
      <c r="J371">
        <f t="shared" si="6"/>
        <v>100</v>
      </c>
    </row>
    <row r="372" spans="1:13" hidden="1">
      <c r="A372" s="6">
        <v>46153</v>
      </c>
      <c r="B372" t="s">
        <v>349</v>
      </c>
      <c r="C372" t="s">
        <v>23</v>
      </c>
      <c r="D372" t="s">
        <v>15</v>
      </c>
      <c r="E372" t="s">
        <v>501</v>
      </c>
      <c r="F372" t="s">
        <v>646</v>
      </c>
      <c r="G372" s="6">
        <v>46188</v>
      </c>
      <c r="H372" t="s">
        <v>57</v>
      </c>
      <c r="I372" t="s">
        <v>19</v>
      </c>
      <c r="J372">
        <f t="shared" si="6"/>
        <v>100</v>
      </c>
    </row>
    <row r="373" spans="1:13" hidden="1">
      <c r="A373" s="6">
        <v>46153</v>
      </c>
      <c r="B373" t="s">
        <v>536</v>
      </c>
      <c r="C373" t="s">
        <v>162</v>
      </c>
      <c r="D373" t="s">
        <v>176</v>
      </c>
      <c r="E373" t="s">
        <v>637</v>
      </c>
      <c r="F373" t="s">
        <v>647</v>
      </c>
      <c r="G373" s="6">
        <v>46153</v>
      </c>
      <c r="H373" t="s">
        <v>57</v>
      </c>
      <c r="I373" s="13" t="s">
        <v>19</v>
      </c>
      <c r="J373">
        <f t="shared" si="6"/>
        <v>100</v>
      </c>
    </row>
    <row r="374" spans="1:13" hidden="1">
      <c r="A374" s="6">
        <v>46153</v>
      </c>
      <c r="B374" t="s">
        <v>435</v>
      </c>
      <c r="C374" t="s">
        <v>436</v>
      </c>
      <c r="D374" t="s">
        <v>166</v>
      </c>
      <c r="E374" t="s">
        <v>467</v>
      </c>
      <c r="F374" t="s">
        <v>636</v>
      </c>
      <c r="G374" s="6">
        <v>46153</v>
      </c>
      <c r="H374" t="s">
        <v>57</v>
      </c>
      <c r="I374" s="13" t="s">
        <v>19</v>
      </c>
      <c r="J374">
        <f t="shared" si="6"/>
        <v>100</v>
      </c>
      <c r="M374" s="11" t="s">
        <v>600</v>
      </c>
    </row>
    <row r="375" spans="1:13" hidden="1">
      <c r="A375" s="6">
        <v>46153</v>
      </c>
      <c r="B375" t="s">
        <v>266</v>
      </c>
      <c r="C375" t="s">
        <v>162</v>
      </c>
      <c r="D375" t="s">
        <v>176</v>
      </c>
      <c r="E375" t="s">
        <v>613</v>
      </c>
      <c r="F375" t="s">
        <v>648</v>
      </c>
      <c r="G375" s="6">
        <v>46153</v>
      </c>
      <c r="H375" t="s">
        <v>552</v>
      </c>
      <c r="I375" s="13" t="s">
        <v>19</v>
      </c>
      <c r="J375">
        <f t="shared" si="6"/>
        <v>100</v>
      </c>
    </row>
    <row r="376" spans="1:13" hidden="1">
      <c r="A376" s="6">
        <v>46153</v>
      </c>
      <c r="B376" t="s">
        <v>649</v>
      </c>
      <c r="C376" t="s">
        <v>162</v>
      </c>
      <c r="D376" t="s">
        <v>176</v>
      </c>
      <c r="E376" t="s">
        <v>301</v>
      </c>
      <c r="F376" t="s">
        <v>650</v>
      </c>
      <c r="G376" s="6">
        <v>46153</v>
      </c>
      <c r="H376" t="s">
        <v>57</v>
      </c>
      <c r="I376" s="13" t="s">
        <v>19</v>
      </c>
      <c r="J376">
        <f t="shared" si="6"/>
        <v>100</v>
      </c>
    </row>
    <row r="377" spans="1:13" hidden="1">
      <c r="A377" s="6">
        <v>46153</v>
      </c>
      <c r="B377" t="s">
        <v>184</v>
      </c>
      <c r="C377" t="s">
        <v>162</v>
      </c>
      <c r="D377" t="s">
        <v>176</v>
      </c>
      <c r="E377" t="s">
        <v>609</v>
      </c>
      <c r="F377" t="s">
        <v>651</v>
      </c>
      <c r="G377" s="6">
        <v>46153</v>
      </c>
      <c r="H377" t="s">
        <v>57</v>
      </c>
      <c r="I377" s="13" t="s">
        <v>19</v>
      </c>
      <c r="J377">
        <f t="shared" si="6"/>
        <v>100</v>
      </c>
    </row>
    <row r="378" spans="1:13">
      <c r="A378" s="6">
        <v>46153</v>
      </c>
      <c r="B378" t="s">
        <v>536</v>
      </c>
      <c r="C378" t="s">
        <v>162</v>
      </c>
      <c r="D378" t="s">
        <v>176</v>
      </c>
      <c r="E378" t="s">
        <v>467</v>
      </c>
      <c r="F378" t="s">
        <v>652</v>
      </c>
      <c r="G378" s="6">
        <v>46153</v>
      </c>
      <c r="H378" t="s">
        <v>57</v>
      </c>
      <c r="I378" t="s">
        <v>51</v>
      </c>
      <c r="J378">
        <f t="shared" si="6"/>
        <v>50</v>
      </c>
    </row>
    <row r="379" spans="1:13" hidden="1">
      <c r="A379" s="6">
        <v>46153</v>
      </c>
      <c r="B379" t="s">
        <v>170</v>
      </c>
      <c r="C379" t="s">
        <v>171</v>
      </c>
      <c r="D379" t="s">
        <v>15</v>
      </c>
      <c r="E379" t="s">
        <v>82</v>
      </c>
      <c r="F379" t="s">
        <v>653</v>
      </c>
      <c r="G379" s="6">
        <v>46153</v>
      </c>
      <c r="H379" t="s">
        <v>18</v>
      </c>
      <c r="I379" s="13" t="s">
        <v>19</v>
      </c>
      <c r="J379">
        <f t="shared" si="6"/>
        <v>100</v>
      </c>
    </row>
    <row r="380" spans="1:13" hidden="1">
      <c r="A380" s="6">
        <v>46153</v>
      </c>
      <c r="B380" t="s">
        <v>184</v>
      </c>
      <c r="C380" t="s">
        <v>162</v>
      </c>
      <c r="D380" t="s">
        <v>176</v>
      </c>
      <c r="E380" t="s">
        <v>654</v>
      </c>
      <c r="F380" t="s">
        <v>655</v>
      </c>
      <c r="G380" s="6">
        <v>46153</v>
      </c>
      <c r="H380" t="s">
        <v>57</v>
      </c>
      <c r="I380" s="13" t="s">
        <v>19</v>
      </c>
      <c r="J380">
        <f t="shared" si="6"/>
        <v>100</v>
      </c>
    </row>
    <row r="381" spans="1:13" hidden="1">
      <c r="A381" s="6">
        <v>46153</v>
      </c>
      <c r="B381" t="s">
        <v>165</v>
      </c>
      <c r="C381" t="s">
        <v>162</v>
      </c>
      <c r="D381" t="s">
        <v>166</v>
      </c>
      <c r="E381" t="s">
        <v>654</v>
      </c>
      <c r="F381" t="s">
        <v>656</v>
      </c>
      <c r="G381" s="6">
        <v>46153</v>
      </c>
      <c r="H381" t="s">
        <v>657</v>
      </c>
      <c r="I381" s="13" t="s">
        <v>19</v>
      </c>
      <c r="J381">
        <f t="shared" si="6"/>
        <v>100</v>
      </c>
    </row>
    <row r="382" spans="1:13" hidden="1">
      <c r="A382" s="6">
        <v>46153</v>
      </c>
      <c r="B382" t="s">
        <v>283</v>
      </c>
      <c r="C382" t="s">
        <v>162</v>
      </c>
      <c r="D382" t="s">
        <v>176</v>
      </c>
      <c r="E382" t="s">
        <v>226</v>
      </c>
      <c r="F382" t="s">
        <v>658</v>
      </c>
      <c r="G382" s="6">
        <v>46153</v>
      </c>
      <c r="H382" t="s">
        <v>57</v>
      </c>
      <c r="I382" s="13" t="s">
        <v>19</v>
      </c>
      <c r="J382">
        <f t="shared" si="6"/>
        <v>100</v>
      </c>
    </row>
    <row r="383" spans="1:13" hidden="1">
      <c r="A383" s="6">
        <v>46153</v>
      </c>
      <c r="B383" t="s">
        <v>283</v>
      </c>
      <c r="C383" t="s">
        <v>162</v>
      </c>
      <c r="D383" t="s">
        <v>176</v>
      </c>
      <c r="E383" t="s">
        <v>467</v>
      </c>
      <c r="F383" t="s">
        <v>659</v>
      </c>
      <c r="G383" s="6">
        <v>46153</v>
      </c>
      <c r="H383" t="s">
        <v>57</v>
      </c>
      <c r="I383" s="13" t="s">
        <v>19</v>
      </c>
      <c r="J383">
        <f t="shared" si="6"/>
        <v>100</v>
      </c>
    </row>
    <row r="384" spans="1:13" hidden="1">
      <c r="A384" s="6">
        <v>46153</v>
      </c>
      <c r="B384" t="s">
        <v>107</v>
      </c>
      <c r="C384" t="s">
        <v>108</v>
      </c>
      <c r="D384" t="s">
        <v>15</v>
      </c>
      <c r="E384" t="s">
        <v>660</v>
      </c>
      <c r="F384" t="s">
        <v>661</v>
      </c>
      <c r="G384" s="6"/>
      <c r="H384" t="s">
        <v>541</v>
      </c>
      <c r="I384" s="13" t="s">
        <v>19</v>
      </c>
      <c r="J384">
        <f t="shared" si="6"/>
        <v>100</v>
      </c>
    </row>
    <row r="385" spans="1:11" hidden="1">
      <c r="A385" s="6">
        <v>46153</v>
      </c>
      <c r="B385" t="s">
        <v>107</v>
      </c>
      <c r="C385" t="s">
        <v>108</v>
      </c>
      <c r="D385" t="s">
        <v>15</v>
      </c>
      <c r="E385" t="s">
        <v>456</v>
      </c>
      <c r="F385" t="s">
        <v>662</v>
      </c>
      <c r="G385" s="6"/>
      <c r="H385" t="s">
        <v>18</v>
      </c>
      <c r="I385" s="13" t="s">
        <v>19</v>
      </c>
      <c r="J385">
        <f t="shared" si="6"/>
        <v>100</v>
      </c>
    </row>
    <row r="386" spans="1:11" hidden="1">
      <c r="A386" s="6">
        <v>46153</v>
      </c>
      <c r="B386" t="s">
        <v>178</v>
      </c>
      <c r="C386" t="s">
        <v>162</v>
      </c>
      <c r="D386" t="s">
        <v>179</v>
      </c>
      <c r="E386" t="s">
        <v>663</v>
      </c>
      <c r="F386" t="s">
        <v>664</v>
      </c>
      <c r="G386" s="6">
        <v>46153</v>
      </c>
      <c r="H386" t="s">
        <v>18</v>
      </c>
      <c r="I386" s="13" t="s">
        <v>19</v>
      </c>
      <c r="J386">
        <f t="shared" si="6"/>
        <v>100</v>
      </c>
      <c r="K386" t="s">
        <v>386</v>
      </c>
    </row>
    <row r="387" spans="1:11" hidden="1">
      <c r="A387" s="6">
        <v>46154</v>
      </c>
      <c r="B387" t="s">
        <v>283</v>
      </c>
      <c r="C387" t="s">
        <v>162</v>
      </c>
      <c r="D387" t="s">
        <v>176</v>
      </c>
      <c r="E387" t="s">
        <v>663</v>
      </c>
      <c r="F387" t="s">
        <v>665</v>
      </c>
      <c r="G387" s="6">
        <v>46153</v>
      </c>
      <c r="H387" t="s">
        <v>520</v>
      </c>
      <c r="I387" s="13" t="s">
        <v>19</v>
      </c>
      <c r="J387">
        <f t="shared" si="6"/>
        <v>100</v>
      </c>
      <c r="K387">
        <v>4</v>
      </c>
    </row>
    <row r="388" spans="1:11" hidden="1">
      <c r="A388" s="6">
        <v>46154</v>
      </c>
      <c r="B388" t="s">
        <v>283</v>
      </c>
      <c r="C388" t="s">
        <v>162</v>
      </c>
      <c r="D388" t="s">
        <v>176</v>
      </c>
      <c r="E388" t="s">
        <v>666</v>
      </c>
      <c r="F388" t="s">
        <v>667</v>
      </c>
      <c r="G388" s="6">
        <v>46153</v>
      </c>
      <c r="H388" t="s">
        <v>18</v>
      </c>
      <c r="I388" s="13" t="s">
        <v>19</v>
      </c>
      <c r="J388">
        <f t="shared" si="6"/>
        <v>100</v>
      </c>
    </row>
    <row r="389" spans="1:11" hidden="1">
      <c r="A389" s="6">
        <v>46154</v>
      </c>
      <c r="B389" t="s">
        <v>668</v>
      </c>
      <c r="C389" t="s">
        <v>162</v>
      </c>
      <c r="D389" t="s">
        <v>166</v>
      </c>
      <c r="E389" t="s">
        <v>654</v>
      </c>
      <c r="F389" t="s">
        <v>669</v>
      </c>
      <c r="G389" s="6">
        <v>46153</v>
      </c>
      <c r="H389" t="s">
        <v>18</v>
      </c>
      <c r="I389" s="13" t="s">
        <v>19</v>
      </c>
      <c r="J389">
        <f t="shared" si="6"/>
        <v>100</v>
      </c>
    </row>
    <row r="390" spans="1:11" ht="15" hidden="1">
      <c r="A390" s="6">
        <v>46154</v>
      </c>
      <c r="B390" t="s">
        <v>389</v>
      </c>
      <c r="C390" t="s">
        <v>271</v>
      </c>
      <c r="D390" t="s">
        <v>15</v>
      </c>
      <c r="E390" t="s">
        <v>670</v>
      </c>
      <c r="F390" s="7" t="s">
        <v>671</v>
      </c>
      <c r="G390" s="6">
        <v>46154</v>
      </c>
      <c r="H390" t="s">
        <v>57</v>
      </c>
      <c r="I390" s="13" t="s">
        <v>19</v>
      </c>
      <c r="J390">
        <f t="shared" si="6"/>
        <v>100</v>
      </c>
    </row>
    <row r="391" spans="1:11" ht="15" hidden="1">
      <c r="A391" s="6">
        <v>46154</v>
      </c>
      <c r="B391" t="s">
        <v>389</v>
      </c>
      <c r="C391" s="7" t="s">
        <v>271</v>
      </c>
      <c r="D391" s="7" t="s">
        <v>15</v>
      </c>
      <c r="E391" t="s">
        <v>672</v>
      </c>
      <c r="F391" t="s">
        <v>673</v>
      </c>
      <c r="G391" s="6">
        <v>46154</v>
      </c>
      <c r="H391" t="s">
        <v>57</v>
      </c>
      <c r="I391" s="13" t="s">
        <v>19</v>
      </c>
      <c r="J391">
        <f t="shared" si="6"/>
        <v>100</v>
      </c>
    </row>
    <row r="392" spans="1:11" hidden="1">
      <c r="A392" s="4" t="s">
        <v>674</v>
      </c>
      <c r="B392" t="s">
        <v>234</v>
      </c>
      <c r="C392" t="s">
        <v>162</v>
      </c>
      <c r="D392" t="s">
        <v>176</v>
      </c>
      <c r="E392" t="s">
        <v>595</v>
      </c>
      <c r="F392" t="s">
        <v>675</v>
      </c>
      <c r="G392" s="6">
        <v>46154</v>
      </c>
      <c r="H392" t="s">
        <v>144</v>
      </c>
      <c r="I392" s="13" t="s">
        <v>19</v>
      </c>
      <c r="J392">
        <f t="shared" si="6"/>
        <v>100</v>
      </c>
    </row>
    <row r="393" spans="1:11">
      <c r="A393" s="6">
        <v>46154</v>
      </c>
      <c r="B393" t="s">
        <v>536</v>
      </c>
      <c r="C393" t="s">
        <v>162</v>
      </c>
      <c r="D393" t="s">
        <v>176</v>
      </c>
      <c r="E393" t="s">
        <v>676</v>
      </c>
      <c r="F393" t="s">
        <v>677</v>
      </c>
      <c r="G393" s="6">
        <v>46154</v>
      </c>
      <c r="H393" t="s">
        <v>57</v>
      </c>
      <c r="I393" t="s">
        <v>51</v>
      </c>
      <c r="J393">
        <f t="shared" si="6"/>
        <v>50</v>
      </c>
    </row>
    <row r="394" spans="1:11" hidden="1">
      <c r="A394" s="6">
        <v>46154</v>
      </c>
      <c r="B394" t="s">
        <v>186</v>
      </c>
      <c r="C394" t="s">
        <v>162</v>
      </c>
      <c r="D394" t="s">
        <v>166</v>
      </c>
      <c r="E394" t="s">
        <v>678</v>
      </c>
      <c r="F394" t="s">
        <v>679</v>
      </c>
      <c r="G394" s="6">
        <v>46154</v>
      </c>
      <c r="H394" t="s">
        <v>18</v>
      </c>
      <c r="I394" s="13" t="s">
        <v>19</v>
      </c>
      <c r="J394">
        <f t="shared" ref="J394:J457" si="7">IF(I394="Completed",100,IF(I394="Ongoing",50,IF(I394="For Review",75,IF(I394="Delayed",30,0))))</f>
        <v>100</v>
      </c>
    </row>
    <row r="395" spans="1:11" hidden="1">
      <c r="A395" s="6">
        <v>46154</v>
      </c>
      <c r="B395" t="s">
        <v>186</v>
      </c>
      <c r="C395" t="s">
        <v>162</v>
      </c>
      <c r="D395" t="s">
        <v>166</v>
      </c>
      <c r="E395" t="s">
        <v>226</v>
      </c>
      <c r="F395" t="s">
        <v>680</v>
      </c>
      <c r="G395" s="6">
        <v>46154</v>
      </c>
      <c r="H395" t="s">
        <v>57</v>
      </c>
      <c r="I395" s="13" t="s">
        <v>19</v>
      </c>
      <c r="J395">
        <f t="shared" si="7"/>
        <v>100</v>
      </c>
    </row>
    <row r="396" spans="1:11" hidden="1">
      <c r="A396" s="6">
        <v>46154</v>
      </c>
      <c r="B396" t="s">
        <v>186</v>
      </c>
      <c r="C396" t="s">
        <v>162</v>
      </c>
      <c r="D396" t="s">
        <v>166</v>
      </c>
      <c r="E396" t="s">
        <v>678</v>
      </c>
      <c r="F396" t="s">
        <v>681</v>
      </c>
      <c r="G396" s="6">
        <v>46154</v>
      </c>
      <c r="H396" t="s">
        <v>57</v>
      </c>
      <c r="I396" s="13" t="s">
        <v>19</v>
      </c>
      <c r="J396">
        <f t="shared" si="7"/>
        <v>100</v>
      </c>
    </row>
    <row r="397" spans="1:11" hidden="1">
      <c r="A397" s="6">
        <v>46154</v>
      </c>
      <c r="B397" t="s">
        <v>266</v>
      </c>
      <c r="C397" t="s">
        <v>162</v>
      </c>
      <c r="D397" t="s">
        <v>176</v>
      </c>
      <c r="E397" t="s">
        <v>226</v>
      </c>
      <c r="F397" t="s">
        <v>682</v>
      </c>
      <c r="G397" s="6">
        <v>46154</v>
      </c>
      <c r="H397" t="s">
        <v>57</v>
      </c>
      <c r="I397" s="13" t="s">
        <v>19</v>
      </c>
      <c r="J397">
        <f t="shared" si="7"/>
        <v>100</v>
      </c>
    </row>
    <row r="398" spans="1:11" hidden="1">
      <c r="A398" s="6">
        <v>46154</v>
      </c>
      <c r="B398" t="s">
        <v>170</v>
      </c>
      <c r="C398" t="s">
        <v>171</v>
      </c>
      <c r="D398" t="s">
        <v>15</v>
      </c>
      <c r="E398" t="s">
        <v>629</v>
      </c>
      <c r="F398" t="s">
        <v>630</v>
      </c>
      <c r="G398" s="6">
        <v>46154</v>
      </c>
      <c r="H398" t="s">
        <v>57</v>
      </c>
      <c r="I398" s="13" t="s">
        <v>19</v>
      </c>
      <c r="J398">
        <f t="shared" si="7"/>
        <v>100</v>
      </c>
    </row>
    <row r="399" spans="1:11" hidden="1">
      <c r="A399" s="6">
        <v>46154</v>
      </c>
      <c r="B399" t="s">
        <v>165</v>
      </c>
      <c r="C399" t="s">
        <v>162</v>
      </c>
      <c r="D399" t="s">
        <v>166</v>
      </c>
      <c r="E399" t="s">
        <v>683</v>
      </c>
      <c r="F399" t="s">
        <v>684</v>
      </c>
      <c r="G399" s="6">
        <v>46154</v>
      </c>
      <c r="H399" t="s">
        <v>552</v>
      </c>
      <c r="I399" s="13" t="s">
        <v>19</v>
      </c>
      <c r="J399">
        <f t="shared" si="7"/>
        <v>100</v>
      </c>
    </row>
    <row r="400" spans="1:11" hidden="1">
      <c r="A400" s="6">
        <v>46154</v>
      </c>
      <c r="B400" t="s">
        <v>165</v>
      </c>
      <c r="C400" t="s">
        <v>162</v>
      </c>
      <c r="D400" t="s">
        <v>166</v>
      </c>
      <c r="E400" t="s">
        <v>301</v>
      </c>
      <c r="F400" t="s">
        <v>685</v>
      </c>
      <c r="G400" s="6">
        <v>46154</v>
      </c>
      <c r="H400" t="s">
        <v>552</v>
      </c>
      <c r="I400" s="13" t="s">
        <v>19</v>
      </c>
      <c r="J400">
        <f t="shared" si="7"/>
        <v>100</v>
      </c>
    </row>
    <row r="401" spans="1:13" hidden="1">
      <c r="A401" s="6">
        <v>46154</v>
      </c>
      <c r="B401" t="s">
        <v>242</v>
      </c>
      <c r="C401" t="s">
        <v>339</v>
      </c>
      <c r="D401" t="s">
        <v>179</v>
      </c>
      <c r="E401" t="s">
        <v>503</v>
      </c>
      <c r="F401" t="s">
        <v>686</v>
      </c>
      <c r="G401" s="6">
        <v>46154</v>
      </c>
      <c r="H401" t="s">
        <v>552</v>
      </c>
      <c r="I401" s="13" t="s">
        <v>19</v>
      </c>
      <c r="J401">
        <f t="shared" si="7"/>
        <v>100</v>
      </c>
    </row>
    <row r="402" spans="1:13" hidden="1">
      <c r="A402" s="6">
        <v>46154</v>
      </c>
      <c r="B402" t="s">
        <v>242</v>
      </c>
      <c r="C402" t="s">
        <v>339</v>
      </c>
      <c r="D402" t="s">
        <v>179</v>
      </c>
      <c r="E402" t="s">
        <v>503</v>
      </c>
      <c r="F402" t="s">
        <v>687</v>
      </c>
      <c r="G402" s="6">
        <v>46154</v>
      </c>
      <c r="H402" t="s">
        <v>552</v>
      </c>
      <c r="I402" s="13" t="s">
        <v>19</v>
      </c>
      <c r="J402">
        <f t="shared" si="7"/>
        <v>100</v>
      </c>
    </row>
    <row r="403" spans="1:13" hidden="1">
      <c r="A403" s="6">
        <v>46154</v>
      </c>
      <c r="B403" t="s">
        <v>222</v>
      </c>
      <c r="C403" t="s">
        <v>162</v>
      </c>
      <c r="D403" t="s">
        <v>179</v>
      </c>
      <c r="E403" t="s">
        <v>688</v>
      </c>
      <c r="F403" t="s">
        <v>689</v>
      </c>
      <c r="G403" s="6">
        <v>46154</v>
      </c>
      <c r="H403" t="s">
        <v>552</v>
      </c>
      <c r="I403" s="13" t="s">
        <v>19</v>
      </c>
      <c r="J403">
        <f t="shared" si="7"/>
        <v>100</v>
      </c>
    </row>
    <row r="404" spans="1:13" hidden="1">
      <c r="A404" s="6">
        <v>46154</v>
      </c>
      <c r="B404" t="s">
        <v>222</v>
      </c>
      <c r="C404" t="s">
        <v>162</v>
      </c>
      <c r="D404" t="s">
        <v>179</v>
      </c>
      <c r="E404" t="s">
        <v>609</v>
      </c>
      <c r="F404" t="s">
        <v>690</v>
      </c>
      <c r="G404" s="6">
        <v>46154</v>
      </c>
      <c r="H404" t="s">
        <v>552</v>
      </c>
      <c r="I404" t="s">
        <v>19</v>
      </c>
      <c r="J404">
        <f t="shared" si="7"/>
        <v>100</v>
      </c>
    </row>
    <row r="405" spans="1:13" hidden="1">
      <c r="A405" s="6">
        <v>46154</v>
      </c>
      <c r="B405" t="s">
        <v>326</v>
      </c>
      <c r="C405" t="s">
        <v>327</v>
      </c>
      <c r="D405" t="s">
        <v>176</v>
      </c>
      <c r="E405" t="s">
        <v>691</v>
      </c>
      <c r="G405" s="6">
        <v>46154</v>
      </c>
      <c r="H405" t="s">
        <v>57</v>
      </c>
      <c r="I405" s="13" t="s">
        <v>19</v>
      </c>
      <c r="J405">
        <f t="shared" si="7"/>
        <v>100</v>
      </c>
    </row>
    <row r="406" spans="1:13" hidden="1">
      <c r="A406" s="6">
        <v>46154</v>
      </c>
      <c r="B406" t="s">
        <v>326</v>
      </c>
      <c r="C406" t="s">
        <v>327</v>
      </c>
      <c r="D406" t="s">
        <v>176</v>
      </c>
      <c r="E406" t="s">
        <v>692</v>
      </c>
      <c r="F406" t="s">
        <v>693</v>
      </c>
      <c r="G406" s="6">
        <v>46154</v>
      </c>
      <c r="H406" t="s">
        <v>18</v>
      </c>
      <c r="I406" s="13" t="s">
        <v>19</v>
      </c>
      <c r="J406">
        <f t="shared" si="7"/>
        <v>100</v>
      </c>
    </row>
    <row r="407" spans="1:13" hidden="1">
      <c r="A407" s="6">
        <v>46154</v>
      </c>
      <c r="B407" t="s">
        <v>326</v>
      </c>
      <c r="C407" t="s">
        <v>327</v>
      </c>
      <c r="D407" t="s">
        <v>176</v>
      </c>
      <c r="E407" t="s">
        <v>694</v>
      </c>
      <c r="F407" t="s">
        <v>695</v>
      </c>
      <c r="G407" s="6">
        <v>46154</v>
      </c>
      <c r="H407" t="s">
        <v>18</v>
      </c>
      <c r="I407" s="13" t="s">
        <v>19</v>
      </c>
      <c r="J407">
        <f t="shared" si="7"/>
        <v>100</v>
      </c>
    </row>
    <row r="408" spans="1:13" hidden="1">
      <c r="A408" s="6">
        <v>46154</v>
      </c>
      <c r="B408" t="s">
        <v>326</v>
      </c>
      <c r="C408" t="s">
        <v>327</v>
      </c>
      <c r="D408" t="s">
        <v>176</v>
      </c>
      <c r="E408" t="s">
        <v>696</v>
      </c>
      <c r="F408" t="s">
        <v>697</v>
      </c>
      <c r="G408" s="6">
        <v>46154</v>
      </c>
      <c r="H408" t="s">
        <v>18</v>
      </c>
      <c r="I408" s="13" t="s">
        <v>19</v>
      </c>
      <c r="J408">
        <f t="shared" si="7"/>
        <v>100</v>
      </c>
    </row>
    <row r="409" spans="1:13" hidden="1">
      <c r="A409" s="6">
        <v>46154</v>
      </c>
      <c r="B409" t="s">
        <v>290</v>
      </c>
      <c r="C409" t="s">
        <v>162</v>
      </c>
      <c r="D409" t="s">
        <v>176</v>
      </c>
      <c r="E409" t="s">
        <v>678</v>
      </c>
      <c r="F409" t="s">
        <v>698</v>
      </c>
      <c r="G409" s="6">
        <v>46154</v>
      </c>
      <c r="H409" t="s">
        <v>57</v>
      </c>
      <c r="I409" s="13" t="s">
        <v>19</v>
      </c>
      <c r="J409">
        <f t="shared" si="7"/>
        <v>100</v>
      </c>
    </row>
    <row r="410" spans="1:13" hidden="1">
      <c r="A410" s="6">
        <v>46154</v>
      </c>
      <c r="B410" t="s">
        <v>290</v>
      </c>
      <c r="C410" t="s">
        <v>162</v>
      </c>
      <c r="D410" t="s">
        <v>176</v>
      </c>
      <c r="E410" t="s">
        <v>226</v>
      </c>
      <c r="F410" t="s">
        <v>699</v>
      </c>
      <c r="G410" s="6">
        <v>46154</v>
      </c>
      <c r="H410" t="s">
        <v>57</v>
      </c>
      <c r="I410" s="13" t="s">
        <v>19</v>
      </c>
      <c r="J410">
        <f t="shared" si="7"/>
        <v>100</v>
      </c>
    </row>
    <row r="411" spans="1:13" hidden="1">
      <c r="A411" s="6">
        <v>46154</v>
      </c>
      <c r="B411" t="s">
        <v>290</v>
      </c>
      <c r="C411" t="s">
        <v>162</v>
      </c>
      <c r="D411" t="s">
        <v>176</v>
      </c>
      <c r="E411" t="s">
        <v>644</v>
      </c>
      <c r="F411" t="s">
        <v>700</v>
      </c>
      <c r="G411" s="6">
        <v>46155</v>
      </c>
      <c r="H411" t="s">
        <v>57</v>
      </c>
      <c r="I411" s="13" t="s">
        <v>19</v>
      </c>
      <c r="J411">
        <f t="shared" si="7"/>
        <v>100</v>
      </c>
    </row>
    <row r="412" spans="1:13" hidden="1">
      <c r="A412" s="6">
        <v>46154</v>
      </c>
      <c r="B412" t="s">
        <v>701</v>
      </c>
      <c r="C412" t="s">
        <v>497</v>
      </c>
      <c r="D412" t="s">
        <v>498</v>
      </c>
      <c r="E412" t="s">
        <v>702</v>
      </c>
      <c r="F412" t="s">
        <v>703</v>
      </c>
      <c r="G412" s="6">
        <v>46154</v>
      </c>
      <c r="H412" t="s">
        <v>541</v>
      </c>
      <c r="I412" s="13" t="s">
        <v>539</v>
      </c>
      <c r="J412">
        <f t="shared" si="7"/>
        <v>100</v>
      </c>
      <c r="K412" t="s">
        <v>483</v>
      </c>
    </row>
    <row r="413" spans="1:13" hidden="1">
      <c r="A413" s="6">
        <v>46154</v>
      </c>
      <c r="B413" t="s">
        <v>701</v>
      </c>
      <c r="C413" t="s">
        <v>497</v>
      </c>
      <c r="D413" t="s">
        <v>498</v>
      </c>
      <c r="E413" t="s">
        <v>704</v>
      </c>
      <c r="F413" t="s">
        <v>500</v>
      </c>
      <c r="G413" s="6">
        <v>46154</v>
      </c>
      <c r="H413" t="s">
        <v>541</v>
      </c>
      <c r="I413" s="13" t="s">
        <v>19</v>
      </c>
      <c r="J413">
        <f t="shared" si="7"/>
        <v>100</v>
      </c>
      <c r="K413" t="s">
        <v>483</v>
      </c>
    </row>
    <row r="414" spans="1:13" hidden="1">
      <c r="A414" s="6">
        <v>46154</v>
      </c>
      <c r="B414" t="s">
        <v>435</v>
      </c>
      <c r="C414" t="s">
        <v>436</v>
      </c>
      <c r="D414" t="s">
        <v>166</v>
      </c>
      <c r="E414" t="s">
        <v>467</v>
      </c>
      <c r="F414" t="s">
        <v>705</v>
      </c>
      <c r="G414" s="6">
        <v>46154</v>
      </c>
      <c r="H414" t="s">
        <v>57</v>
      </c>
      <c r="I414" s="13" t="s">
        <v>19</v>
      </c>
      <c r="J414">
        <f t="shared" si="7"/>
        <v>100</v>
      </c>
      <c r="M414" s="11" t="s">
        <v>600</v>
      </c>
    </row>
    <row r="415" spans="1:13" hidden="1">
      <c r="A415" s="6">
        <v>46154</v>
      </c>
      <c r="B415" t="s">
        <v>266</v>
      </c>
      <c r="C415" t="s">
        <v>162</v>
      </c>
      <c r="D415" t="s">
        <v>176</v>
      </c>
      <c r="E415" t="s">
        <v>467</v>
      </c>
      <c r="F415" t="s">
        <v>706</v>
      </c>
      <c r="G415" s="6">
        <v>46154</v>
      </c>
      <c r="H415" t="s">
        <v>552</v>
      </c>
      <c r="I415" s="13" t="s">
        <v>19</v>
      </c>
      <c r="J415">
        <f t="shared" si="7"/>
        <v>100</v>
      </c>
    </row>
    <row r="416" spans="1:13" hidden="1">
      <c r="A416" s="6">
        <v>46154</v>
      </c>
      <c r="B416" t="s">
        <v>707</v>
      </c>
      <c r="C416" t="s">
        <v>162</v>
      </c>
      <c r="D416" t="s">
        <v>166</v>
      </c>
      <c r="E416" t="s">
        <v>467</v>
      </c>
      <c r="F416" t="s">
        <v>706</v>
      </c>
      <c r="G416" s="6">
        <v>46154</v>
      </c>
      <c r="H416" t="s">
        <v>552</v>
      </c>
      <c r="I416" s="13" t="s">
        <v>19</v>
      </c>
      <c r="J416">
        <f t="shared" si="7"/>
        <v>100</v>
      </c>
    </row>
    <row r="417" spans="1:10" hidden="1">
      <c r="A417" s="6">
        <v>46154</v>
      </c>
      <c r="B417" t="s">
        <v>708</v>
      </c>
      <c r="C417" t="s">
        <v>162</v>
      </c>
      <c r="D417" t="s">
        <v>176</v>
      </c>
      <c r="E417" t="s">
        <v>542</v>
      </c>
      <c r="F417" t="s">
        <v>709</v>
      </c>
      <c r="G417" s="6">
        <v>46154</v>
      </c>
      <c r="H417" t="s">
        <v>552</v>
      </c>
      <c r="I417" s="13" t="s">
        <v>19</v>
      </c>
      <c r="J417">
        <f t="shared" si="7"/>
        <v>100</v>
      </c>
    </row>
    <row r="418" spans="1:10" hidden="1">
      <c r="A418" s="6">
        <v>46154</v>
      </c>
      <c r="B418" t="s">
        <v>283</v>
      </c>
      <c r="C418" t="s">
        <v>162</v>
      </c>
      <c r="D418" t="s">
        <v>176</v>
      </c>
      <c r="E418" t="s">
        <v>467</v>
      </c>
      <c r="F418" t="s">
        <v>710</v>
      </c>
      <c r="G418" s="6">
        <v>46154</v>
      </c>
      <c r="H418" t="s">
        <v>552</v>
      </c>
      <c r="I418" s="13" t="s">
        <v>539</v>
      </c>
      <c r="J418">
        <f t="shared" si="7"/>
        <v>100</v>
      </c>
    </row>
    <row r="419" spans="1:10" hidden="1">
      <c r="A419" s="6">
        <v>46154</v>
      </c>
      <c r="B419" t="s">
        <v>283</v>
      </c>
      <c r="C419" t="s">
        <v>162</v>
      </c>
      <c r="D419" t="s">
        <v>176</v>
      </c>
      <c r="E419" t="s">
        <v>613</v>
      </c>
      <c r="F419" t="s">
        <v>711</v>
      </c>
      <c r="G419" s="6">
        <v>46154</v>
      </c>
      <c r="H419" t="s">
        <v>18</v>
      </c>
      <c r="I419" s="13" t="s">
        <v>19</v>
      </c>
      <c r="J419">
        <f t="shared" si="7"/>
        <v>100</v>
      </c>
    </row>
    <row r="420" spans="1:10" hidden="1">
      <c r="A420" s="6">
        <v>46154</v>
      </c>
      <c r="B420" t="s">
        <v>107</v>
      </c>
      <c r="C420" t="s">
        <v>108</v>
      </c>
      <c r="D420" t="s">
        <v>15</v>
      </c>
      <c r="E420" t="s">
        <v>456</v>
      </c>
      <c r="F420" t="s">
        <v>712</v>
      </c>
      <c r="G420" s="6"/>
      <c r="H420" t="s">
        <v>18</v>
      </c>
      <c r="I420" s="13" t="s">
        <v>19</v>
      </c>
      <c r="J420">
        <f t="shared" si="7"/>
        <v>100</v>
      </c>
    </row>
    <row r="421" spans="1:10">
      <c r="A421" s="6">
        <v>46154</v>
      </c>
      <c r="B421" t="s">
        <v>107</v>
      </c>
      <c r="C421" t="s">
        <v>108</v>
      </c>
      <c r="D421" t="s">
        <v>15</v>
      </c>
      <c r="E421" t="s">
        <v>111</v>
      </c>
      <c r="F421" t="s">
        <v>713</v>
      </c>
      <c r="H421" t="s">
        <v>18</v>
      </c>
      <c r="I421" s="42"/>
      <c r="J421">
        <f t="shared" si="7"/>
        <v>0</v>
      </c>
    </row>
    <row r="422" spans="1:10" hidden="1">
      <c r="A422" s="6">
        <v>46155</v>
      </c>
      <c r="B422" t="s">
        <v>234</v>
      </c>
      <c r="C422" t="s">
        <v>162</v>
      </c>
      <c r="D422" t="s">
        <v>176</v>
      </c>
      <c r="E422" t="s">
        <v>595</v>
      </c>
      <c r="F422" t="s">
        <v>714</v>
      </c>
      <c r="G422" s="6">
        <v>46155</v>
      </c>
      <c r="H422" t="s">
        <v>18</v>
      </c>
      <c r="I422" s="13" t="s">
        <v>19</v>
      </c>
      <c r="J422">
        <f t="shared" si="7"/>
        <v>100</v>
      </c>
    </row>
    <row r="423" spans="1:10" hidden="1">
      <c r="A423" s="6">
        <v>46155</v>
      </c>
      <c r="B423" t="s">
        <v>234</v>
      </c>
      <c r="C423" t="s">
        <v>162</v>
      </c>
      <c r="D423" t="s">
        <v>176</v>
      </c>
      <c r="E423" t="s">
        <v>613</v>
      </c>
      <c r="F423" t="s">
        <v>715</v>
      </c>
      <c r="G423" s="6">
        <v>46155</v>
      </c>
      <c r="H423" t="s">
        <v>18</v>
      </c>
      <c r="I423" s="13" t="s">
        <v>19</v>
      </c>
      <c r="J423">
        <f t="shared" si="7"/>
        <v>100</v>
      </c>
    </row>
    <row r="424" spans="1:10" ht="15" hidden="1">
      <c r="A424" s="6">
        <v>46155</v>
      </c>
      <c r="B424" t="s">
        <v>716</v>
      </c>
      <c r="C424" t="s">
        <v>136</v>
      </c>
      <c r="D424" t="s">
        <v>717</v>
      </c>
      <c r="E424" t="s">
        <v>131</v>
      </c>
      <c r="F424" s="39" t="s">
        <v>718</v>
      </c>
      <c r="G424" s="6">
        <v>46155</v>
      </c>
      <c r="H424" t="s">
        <v>18</v>
      </c>
      <c r="I424" s="13" t="s">
        <v>19</v>
      </c>
      <c r="J424">
        <f t="shared" si="7"/>
        <v>100</v>
      </c>
    </row>
    <row r="425" spans="1:10" hidden="1">
      <c r="A425" s="6">
        <v>46155</v>
      </c>
      <c r="B425" t="s">
        <v>170</v>
      </c>
      <c r="C425" t="s">
        <v>171</v>
      </c>
      <c r="D425" t="s">
        <v>15</v>
      </c>
      <c r="E425" t="s">
        <v>82</v>
      </c>
      <c r="F425" t="s">
        <v>719</v>
      </c>
      <c r="G425" s="6">
        <v>46155</v>
      </c>
      <c r="H425" t="s">
        <v>552</v>
      </c>
      <c r="I425" s="13" t="s">
        <v>19</v>
      </c>
      <c r="J425">
        <f t="shared" si="7"/>
        <v>100</v>
      </c>
    </row>
    <row r="426" spans="1:10">
      <c r="A426" s="6">
        <v>46155</v>
      </c>
      <c r="B426" t="s">
        <v>716</v>
      </c>
      <c r="C426" t="s">
        <v>136</v>
      </c>
      <c r="D426" t="s">
        <v>15</v>
      </c>
      <c r="E426" t="s">
        <v>32</v>
      </c>
      <c r="F426" t="s">
        <v>720</v>
      </c>
      <c r="H426" t="s">
        <v>18</v>
      </c>
      <c r="I426" t="s">
        <v>721</v>
      </c>
      <c r="J426">
        <f t="shared" si="7"/>
        <v>0</v>
      </c>
    </row>
    <row r="427" spans="1:10">
      <c r="A427" s="6">
        <v>46155</v>
      </c>
      <c r="B427" t="s">
        <v>389</v>
      </c>
      <c r="C427" t="s">
        <v>271</v>
      </c>
      <c r="D427" t="s">
        <v>15</v>
      </c>
      <c r="E427" t="s">
        <v>195</v>
      </c>
      <c r="F427" t="s">
        <v>722</v>
      </c>
      <c r="G427" s="6">
        <v>46155</v>
      </c>
      <c r="H427" t="s">
        <v>57</v>
      </c>
      <c r="I427" t="s">
        <v>51</v>
      </c>
      <c r="J427">
        <f t="shared" si="7"/>
        <v>50</v>
      </c>
    </row>
    <row r="428" spans="1:10" ht="15" hidden="1">
      <c r="A428" s="40">
        <v>46155</v>
      </c>
      <c r="B428" s="7" t="s">
        <v>389</v>
      </c>
      <c r="C428" s="7" t="s">
        <v>271</v>
      </c>
      <c r="D428" s="7" t="s">
        <v>15</v>
      </c>
      <c r="E428" s="7" t="s">
        <v>195</v>
      </c>
      <c r="F428" t="s">
        <v>723</v>
      </c>
      <c r="G428" s="6">
        <v>46155</v>
      </c>
      <c r="H428" t="s">
        <v>57</v>
      </c>
      <c r="I428" s="13" t="s">
        <v>19</v>
      </c>
      <c r="J428">
        <f t="shared" si="7"/>
        <v>100</v>
      </c>
    </row>
    <row r="429" spans="1:10" hidden="1">
      <c r="A429" s="6">
        <v>46155</v>
      </c>
      <c r="B429" t="s">
        <v>170</v>
      </c>
      <c r="C429" t="s">
        <v>171</v>
      </c>
      <c r="D429" t="s">
        <v>15</v>
      </c>
      <c r="E429" t="s">
        <v>501</v>
      </c>
      <c r="F429" t="s">
        <v>724</v>
      </c>
      <c r="G429" s="6">
        <v>46155</v>
      </c>
      <c r="H429" t="s">
        <v>57</v>
      </c>
      <c r="I429" s="13" t="s">
        <v>19</v>
      </c>
      <c r="J429">
        <f t="shared" si="7"/>
        <v>100</v>
      </c>
    </row>
    <row r="430" spans="1:10" hidden="1">
      <c r="A430" s="6">
        <v>46155</v>
      </c>
      <c r="B430" t="s">
        <v>725</v>
      </c>
      <c r="C430" t="s">
        <v>162</v>
      </c>
      <c r="D430" t="s">
        <v>176</v>
      </c>
      <c r="E430" t="s">
        <v>581</v>
      </c>
      <c r="F430" t="s">
        <v>726</v>
      </c>
      <c r="G430" s="6">
        <v>46155</v>
      </c>
      <c r="H430" t="s">
        <v>57</v>
      </c>
      <c r="I430" s="13" t="s">
        <v>19</v>
      </c>
      <c r="J430">
        <f t="shared" si="7"/>
        <v>100</v>
      </c>
    </row>
    <row r="431" spans="1:10" hidden="1">
      <c r="A431" s="6">
        <v>46155</v>
      </c>
      <c r="B431" t="s">
        <v>727</v>
      </c>
      <c r="C431" t="s">
        <v>162</v>
      </c>
      <c r="D431" t="s">
        <v>176</v>
      </c>
      <c r="E431" t="s">
        <v>678</v>
      </c>
      <c r="F431" t="s">
        <v>728</v>
      </c>
      <c r="G431" s="6">
        <v>46155</v>
      </c>
      <c r="H431" t="s">
        <v>57</v>
      </c>
      <c r="I431" s="13" t="s">
        <v>539</v>
      </c>
      <c r="J431">
        <f t="shared" si="7"/>
        <v>100</v>
      </c>
    </row>
    <row r="432" spans="1:10" hidden="1">
      <c r="A432" s="6">
        <v>46155</v>
      </c>
      <c r="B432" t="s">
        <v>727</v>
      </c>
      <c r="C432" t="s">
        <v>162</v>
      </c>
      <c r="D432" t="s">
        <v>176</v>
      </c>
      <c r="E432" t="s">
        <v>729</v>
      </c>
      <c r="F432" t="s">
        <v>730</v>
      </c>
      <c r="G432" s="6">
        <v>46155</v>
      </c>
      <c r="H432" t="s">
        <v>523</v>
      </c>
      <c r="I432" s="13" t="s">
        <v>539</v>
      </c>
      <c r="J432">
        <f t="shared" si="7"/>
        <v>100</v>
      </c>
    </row>
    <row r="433" spans="1:10" hidden="1">
      <c r="A433" s="6">
        <v>46155</v>
      </c>
      <c r="B433" t="s">
        <v>731</v>
      </c>
      <c r="C433" t="s">
        <v>162</v>
      </c>
      <c r="D433" t="s">
        <v>176</v>
      </c>
      <c r="E433" t="s">
        <v>732</v>
      </c>
      <c r="F433" t="s">
        <v>730</v>
      </c>
      <c r="G433" s="6">
        <v>46155</v>
      </c>
      <c r="H433" t="s">
        <v>523</v>
      </c>
      <c r="I433" s="13" t="s">
        <v>539</v>
      </c>
      <c r="J433">
        <f t="shared" si="7"/>
        <v>100</v>
      </c>
    </row>
    <row r="434" spans="1:10" hidden="1">
      <c r="A434" s="6">
        <v>46155</v>
      </c>
      <c r="B434" t="s">
        <v>260</v>
      </c>
      <c r="C434" t="s">
        <v>733</v>
      </c>
      <c r="D434" t="s">
        <v>179</v>
      </c>
      <c r="E434" t="s">
        <v>696</v>
      </c>
      <c r="F434" t="s">
        <v>715</v>
      </c>
      <c r="G434" s="6">
        <v>46155</v>
      </c>
      <c r="H434" t="s">
        <v>18</v>
      </c>
      <c r="I434" s="13" t="s">
        <v>539</v>
      </c>
      <c r="J434">
        <f t="shared" si="7"/>
        <v>100</v>
      </c>
    </row>
    <row r="435" spans="1:10" hidden="1">
      <c r="A435" s="6">
        <v>46155</v>
      </c>
      <c r="B435" t="s">
        <v>725</v>
      </c>
      <c r="C435" t="s">
        <v>733</v>
      </c>
      <c r="D435" t="s">
        <v>176</v>
      </c>
      <c r="E435" t="s">
        <v>581</v>
      </c>
      <c r="F435" t="s">
        <v>734</v>
      </c>
      <c r="G435" s="6">
        <v>46155</v>
      </c>
      <c r="H435" t="s">
        <v>57</v>
      </c>
      <c r="I435" s="13" t="s">
        <v>19</v>
      </c>
      <c r="J435">
        <f t="shared" si="7"/>
        <v>100</v>
      </c>
    </row>
    <row r="436" spans="1:10">
      <c r="A436" s="6">
        <v>46155</v>
      </c>
      <c r="B436" t="s">
        <v>725</v>
      </c>
      <c r="C436" t="s">
        <v>733</v>
      </c>
      <c r="D436" t="s">
        <v>176</v>
      </c>
      <c r="E436" t="s">
        <v>581</v>
      </c>
      <c r="F436" t="s">
        <v>735</v>
      </c>
      <c r="G436" s="6">
        <v>46155</v>
      </c>
      <c r="H436" t="s">
        <v>57</v>
      </c>
      <c r="I436" t="s">
        <v>736</v>
      </c>
      <c r="J436">
        <f t="shared" si="7"/>
        <v>0</v>
      </c>
    </row>
    <row r="437" spans="1:10" hidden="1">
      <c r="A437" s="6">
        <v>46155</v>
      </c>
      <c r="B437" t="s">
        <v>178</v>
      </c>
      <c r="C437" t="s">
        <v>162</v>
      </c>
      <c r="D437" t="s">
        <v>179</v>
      </c>
      <c r="E437" t="s">
        <v>737</v>
      </c>
      <c r="F437" t="s">
        <v>738</v>
      </c>
      <c r="G437" s="6">
        <v>46155</v>
      </c>
      <c r="H437" t="s">
        <v>18</v>
      </c>
      <c r="I437" s="13" t="s">
        <v>19</v>
      </c>
      <c r="J437">
        <f t="shared" si="7"/>
        <v>100</v>
      </c>
    </row>
    <row r="438" spans="1:10" hidden="1">
      <c r="A438" s="6">
        <v>46155</v>
      </c>
      <c r="B438" t="s">
        <v>326</v>
      </c>
      <c r="C438" t="s">
        <v>327</v>
      </c>
      <c r="D438" t="s">
        <v>176</v>
      </c>
      <c r="E438" t="s">
        <v>739</v>
      </c>
      <c r="F438" t="s">
        <v>740</v>
      </c>
      <c r="G438" s="6">
        <v>46155</v>
      </c>
      <c r="H438" t="s">
        <v>18</v>
      </c>
      <c r="I438" s="13" t="s">
        <v>19</v>
      </c>
      <c r="J438">
        <f t="shared" si="7"/>
        <v>100</v>
      </c>
    </row>
    <row r="439" spans="1:10" hidden="1">
      <c r="A439" s="6">
        <v>46155</v>
      </c>
      <c r="B439" t="s">
        <v>326</v>
      </c>
      <c r="C439" t="s">
        <v>327</v>
      </c>
      <c r="D439" t="s">
        <v>176</v>
      </c>
      <c r="E439" t="s">
        <v>741</v>
      </c>
      <c r="F439" t="s">
        <v>742</v>
      </c>
      <c r="G439" s="6">
        <v>46155</v>
      </c>
      <c r="H439" t="s">
        <v>18</v>
      </c>
      <c r="I439" s="13" t="s">
        <v>19</v>
      </c>
      <c r="J439">
        <f t="shared" si="7"/>
        <v>100</v>
      </c>
    </row>
    <row r="440" spans="1:10" hidden="1">
      <c r="A440" s="6">
        <v>46155</v>
      </c>
      <c r="B440" t="s">
        <v>326</v>
      </c>
      <c r="C440" t="s">
        <v>327</v>
      </c>
      <c r="D440" t="s">
        <v>176</v>
      </c>
      <c r="E440" t="s">
        <v>743</v>
      </c>
      <c r="F440" t="s">
        <v>744</v>
      </c>
      <c r="G440" s="6">
        <v>46155</v>
      </c>
      <c r="H440" t="s">
        <v>57</v>
      </c>
      <c r="I440" s="13" t="s">
        <v>19</v>
      </c>
      <c r="J440">
        <f t="shared" si="7"/>
        <v>100</v>
      </c>
    </row>
    <row r="441" spans="1:10" hidden="1">
      <c r="A441" s="6">
        <v>46155</v>
      </c>
      <c r="B441" t="s">
        <v>326</v>
      </c>
      <c r="C441" t="s">
        <v>327</v>
      </c>
      <c r="D441" t="s">
        <v>176</v>
      </c>
      <c r="E441" t="s">
        <v>745</v>
      </c>
      <c r="F441" t="s">
        <v>746</v>
      </c>
      <c r="G441" s="6">
        <v>46155</v>
      </c>
      <c r="H441" t="s">
        <v>57</v>
      </c>
      <c r="I441" s="13" t="s">
        <v>19</v>
      </c>
      <c r="J441">
        <f t="shared" si="7"/>
        <v>100</v>
      </c>
    </row>
    <row r="442" spans="1:10" hidden="1">
      <c r="A442" s="6">
        <v>46155</v>
      </c>
      <c r="B442" t="s">
        <v>165</v>
      </c>
      <c r="C442" t="s">
        <v>162</v>
      </c>
      <c r="D442" t="s">
        <v>166</v>
      </c>
      <c r="E442" t="s">
        <v>167</v>
      </c>
      <c r="F442" t="s">
        <v>747</v>
      </c>
      <c r="G442" s="6">
        <v>46155</v>
      </c>
      <c r="H442" t="s">
        <v>552</v>
      </c>
      <c r="I442" s="13" t="s">
        <v>539</v>
      </c>
      <c r="J442">
        <f t="shared" si="7"/>
        <v>100</v>
      </c>
    </row>
    <row r="443" spans="1:10" hidden="1">
      <c r="A443" s="6">
        <v>46155</v>
      </c>
      <c r="B443" t="s">
        <v>165</v>
      </c>
      <c r="C443" t="s">
        <v>162</v>
      </c>
      <c r="D443" t="s">
        <v>166</v>
      </c>
      <c r="E443" t="s">
        <v>301</v>
      </c>
      <c r="F443" t="s">
        <v>685</v>
      </c>
      <c r="G443" s="6">
        <v>46155</v>
      </c>
      <c r="H443" t="s">
        <v>552</v>
      </c>
      <c r="I443" s="13" t="s">
        <v>539</v>
      </c>
      <c r="J443">
        <f t="shared" si="7"/>
        <v>100</v>
      </c>
    </row>
    <row r="444" spans="1:10" hidden="1">
      <c r="A444" s="6">
        <v>46155</v>
      </c>
      <c r="B444" t="s">
        <v>748</v>
      </c>
      <c r="C444" t="s">
        <v>162</v>
      </c>
      <c r="D444" t="s">
        <v>166</v>
      </c>
      <c r="E444" t="s">
        <v>467</v>
      </c>
      <c r="F444" t="s">
        <v>551</v>
      </c>
      <c r="G444" s="6">
        <v>46155</v>
      </c>
      <c r="H444" t="s">
        <v>552</v>
      </c>
      <c r="I444" s="13" t="s">
        <v>539</v>
      </c>
      <c r="J444">
        <f t="shared" si="7"/>
        <v>100</v>
      </c>
    </row>
    <row r="445" spans="1:10" hidden="1">
      <c r="A445" s="6">
        <v>46155</v>
      </c>
      <c r="B445" t="s">
        <v>222</v>
      </c>
      <c r="C445" t="s">
        <v>162</v>
      </c>
      <c r="D445" t="s">
        <v>179</v>
      </c>
      <c r="E445" t="s">
        <v>613</v>
      </c>
      <c r="F445" t="s">
        <v>749</v>
      </c>
      <c r="G445" s="6">
        <v>46155</v>
      </c>
      <c r="H445" t="s">
        <v>18</v>
      </c>
      <c r="I445" s="13" t="s">
        <v>19</v>
      </c>
      <c r="J445">
        <f t="shared" si="7"/>
        <v>100</v>
      </c>
    </row>
    <row r="446" spans="1:10" hidden="1">
      <c r="A446" s="6">
        <v>46155</v>
      </c>
      <c r="B446" t="s">
        <v>283</v>
      </c>
      <c r="C446" t="s">
        <v>162</v>
      </c>
      <c r="D446" t="s">
        <v>176</v>
      </c>
      <c r="E446" t="s">
        <v>368</v>
      </c>
      <c r="F446" t="s">
        <v>750</v>
      </c>
      <c r="G446" s="6">
        <v>46155</v>
      </c>
      <c r="H446" t="s">
        <v>57</v>
      </c>
      <c r="I446" s="13" t="s">
        <v>19</v>
      </c>
      <c r="J446">
        <f t="shared" si="7"/>
        <v>100</v>
      </c>
    </row>
    <row r="447" spans="1:10" hidden="1">
      <c r="A447" s="6">
        <v>46155</v>
      </c>
      <c r="B447" t="s">
        <v>283</v>
      </c>
      <c r="C447" t="s">
        <v>162</v>
      </c>
      <c r="D447" t="s">
        <v>176</v>
      </c>
      <c r="E447" t="s">
        <v>467</v>
      </c>
      <c r="F447" t="s">
        <v>751</v>
      </c>
      <c r="G447" s="6">
        <v>46155</v>
      </c>
      <c r="H447" t="s">
        <v>57</v>
      </c>
      <c r="I447" s="13" t="s">
        <v>19</v>
      </c>
      <c r="J447">
        <f t="shared" si="7"/>
        <v>100</v>
      </c>
    </row>
    <row r="448" spans="1:10" hidden="1">
      <c r="A448" s="6">
        <v>46155</v>
      </c>
      <c r="B448" t="s">
        <v>222</v>
      </c>
      <c r="C448" t="s">
        <v>162</v>
      </c>
      <c r="D448" t="s">
        <v>179</v>
      </c>
      <c r="E448" t="s">
        <v>440</v>
      </c>
      <c r="F448" t="s">
        <v>752</v>
      </c>
      <c r="G448" s="6">
        <v>46155</v>
      </c>
      <c r="H448" t="s">
        <v>57</v>
      </c>
      <c r="I448" s="13" t="s">
        <v>19</v>
      </c>
      <c r="J448">
        <f t="shared" si="7"/>
        <v>100</v>
      </c>
    </row>
    <row r="449" spans="1:10" hidden="1">
      <c r="A449" s="6">
        <v>46155</v>
      </c>
      <c r="B449" t="s">
        <v>349</v>
      </c>
      <c r="C449" t="s">
        <v>23</v>
      </c>
      <c r="D449" t="s">
        <v>15</v>
      </c>
      <c r="E449" t="s">
        <v>82</v>
      </c>
      <c r="F449" t="s">
        <v>753</v>
      </c>
      <c r="G449" s="6">
        <v>46155</v>
      </c>
      <c r="H449" t="s">
        <v>57</v>
      </c>
      <c r="I449" s="13" t="s">
        <v>19</v>
      </c>
      <c r="J449">
        <f t="shared" si="7"/>
        <v>100</v>
      </c>
    </row>
    <row r="450" spans="1:10" hidden="1">
      <c r="A450" s="6">
        <v>46155</v>
      </c>
      <c r="B450" t="s">
        <v>349</v>
      </c>
      <c r="C450" t="s">
        <v>23</v>
      </c>
      <c r="D450" t="s">
        <v>15</v>
      </c>
      <c r="E450" t="s">
        <v>754</v>
      </c>
      <c r="F450" t="s">
        <v>755</v>
      </c>
      <c r="G450" s="6">
        <v>46155</v>
      </c>
      <c r="H450" t="s">
        <v>57</v>
      </c>
      <c r="I450" s="13" t="s">
        <v>19</v>
      </c>
      <c r="J450">
        <f t="shared" si="7"/>
        <v>100</v>
      </c>
    </row>
    <row r="451" spans="1:10" hidden="1">
      <c r="A451" s="6">
        <v>46155</v>
      </c>
      <c r="B451" t="s">
        <v>349</v>
      </c>
      <c r="C451" t="s">
        <v>23</v>
      </c>
      <c r="D451" t="s">
        <v>15</v>
      </c>
      <c r="E451" t="s">
        <v>756</v>
      </c>
      <c r="F451" t="s">
        <v>757</v>
      </c>
      <c r="G451" s="6">
        <v>46155</v>
      </c>
      <c r="H451" t="s">
        <v>57</v>
      </c>
      <c r="I451" s="13" t="s">
        <v>19</v>
      </c>
      <c r="J451">
        <f t="shared" si="7"/>
        <v>100</v>
      </c>
    </row>
    <row r="452" spans="1:10" hidden="1">
      <c r="A452" s="6">
        <v>46155</v>
      </c>
      <c r="B452" t="s">
        <v>170</v>
      </c>
      <c r="C452" t="s">
        <v>171</v>
      </c>
      <c r="D452" t="s">
        <v>758</v>
      </c>
      <c r="E452" t="s">
        <v>237</v>
      </c>
      <c r="F452" t="s">
        <v>759</v>
      </c>
      <c r="G452" s="6">
        <v>46155</v>
      </c>
      <c r="H452" t="s">
        <v>57</v>
      </c>
      <c r="I452" s="13" t="s">
        <v>19</v>
      </c>
      <c r="J452">
        <f t="shared" si="7"/>
        <v>100</v>
      </c>
    </row>
    <row r="453" spans="1:10" hidden="1">
      <c r="A453" s="6">
        <v>46155</v>
      </c>
      <c r="B453" t="s">
        <v>460</v>
      </c>
      <c r="C453" t="s">
        <v>162</v>
      </c>
      <c r="D453" t="s">
        <v>176</v>
      </c>
      <c r="E453" t="s">
        <v>467</v>
      </c>
      <c r="F453" t="s">
        <v>760</v>
      </c>
      <c r="G453" s="6">
        <v>46155</v>
      </c>
      <c r="H453" t="s">
        <v>57</v>
      </c>
      <c r="I453" s="13" t="s">
        <v>19</v>
      </c>
      <c r="J453">
        <f t="shared" si="7"/>
        <v>100</v>
      </c>
    </row>
    <row r="454" spans="1:10" hidden="1">
      <c r="A454" s="6">
        <v>46155</v>
      </c>
      <c r="B454" t="s">
        <v>186</v>
      </c>
      <c r="C454" t="s">
        <v>162</v>
      </c>
      <c r="D454" t="s">
        <v>166</v>
      </c>
      <c r="E454" t="s">
        <v>467</v>
      </c>
      <c r="F454" t="s">
        <v>761</v>
      </c>
      <c r="G454" s="6">
        <v>46155</v>
      </c>
      <c r="H454" t="s">
        <v>57</v>
      </c>
      <c r="I454" s="13" t="s">
        <v>19</v>
      </c>
      <c r="J454">
        <f t="shared" si="7"/>
        <v>100</v>
      </c>
    </row>
    <row r="455" spans="1:10" hidden="1">
      <c r="A455" s="6">
        <v>46155</v>
      </c>
      <c r="B455" t="s">
        <v>186</v>
      </c>
      <c r="C455" t="s">
        <v>162</v>
      </c>
      <c r="D455" t="s">
        <v>166</v>
      </c>
      <c r="E455" t="s">
        <v>467</v>
      </c>
      <c r="F455" t="s">
        <v>760</v>
      </c>
      <c r="G455" s="6">
        <v>46155</v>
      </c>
      <c r="H455" t="s">
        <v>57</v>
      </c>
      <c r="I455" s="13" t="s">
        <v>19</v>
      </c>
      <c r="J455">
        <f t="shared" si="7"/>
        <v>100</v>
      </c>
    </row>
    <row r="456" spans="1:10" hidden="1">
      <c r="A456" s="6">
        <v>46156</v>
      </c>
      <c r="B456" t="s">
        <v>186</v>
      </c>
      <c r="C456" t="s">
        <v>162</v>
      </c>
      <c r="D456" t="s">
        <v>166</v>
      </c>
      <c r="E456" t="s">
        <v>226</v>
      </c>
      <c r="F456" t="s">
        <v>762</v>
      </c>
      <c r="G456" s="6">
        <v>46155</v>
      </c>
      <c r="H456" t="s">
        <v>57</v>
      </c>
      <c r="I456" s="13" t="s">
        <v>19</v>
      </c>
      <c r="J456">
        <f t="shared" si="7"/>
        <v>100</v>
      </c>
    </row>
    <row r="457" spans="1:10" hidden="1">
      <c r="A457" s="6">
        <v>46156</v>
      </c>
      <c r="B457" t="s">
        <v>186</v>
      </c>
      <c r="C457" t="s">
        <v>162</v>
      </c>
      <c r="D457" t="s">
        <v>166</v>
      </c>
      <c r="E457" t="s">
        <v>696</v>
      </c>
      <c r="F457" t="s">
        <v>763</v>
      </c>
      <c r="G457" s="6">
        <v>46155</v>
      </c>
      <c r="H457" t="s">
        <v>57</v>
      </c>
      <c r="I457" s="13" t="s">
        <v>19</v>
      </c>
      <c r="J457">
        <f t="shared" si="7"/>
        <v>100</v>
      </c>
    </row>
    <row r="458" spans="1:10" hidden="1">
      <c r="A458" s="6">
        <v>46156</v>
      </c>
      <c r="B458" t="s">
        <v>178</v>
      </c>
      <c r="C458" t="s">
        <v>162</v>
      </c>
      <c r="D458" t="s">
        <v>179</v>
      </c>
      <c r="E458" t="s">
        <v>180</v>
      </c>
      <c r="F458" t="s">
        <v>764</v>
      </c>
      <c r="G458" s="6">
        <v>46156</v>
      </c>
      <c r="H458" t="s">
        <v>57</v>
      </c>
      <c r="I458" s="13" t="s">
        <v>19</v>
      </c>
      <c r="J458">
        <f t="shared" ref="J458:J524" si="8">IF(I458="Completed",100,IF(I458="Ongoing",50,IF(I458="For Review",75,IF(I458="Delayed",30,0))))</f>
        <v>100</v>
      </c>
    </row>
    <row r="459" spans="1:10" hidden="1">
      <c r="A459" s="6">
        <v>46156</v>
      </c>
      <c r="B459" t="s">
        <v>460</v>
      </c>
      <c r="C459" t="s">
        <v>162</v>
      </c>
      <c r="D459" t="s">
        <v>176</v>
      </c>
      <c r="E459" t="s">
        <v>467</v>
      </c>
      <c r="F459" t="s">
        <v>765</v>
      </c>
      <c r="G459" s="6">
        <v>46156</v>
      </c>
      <c r="H459" t="s">
        <v>57</v>
      </c>
      <c r="I459" s="13" t="s">
        <v>19</v>
      </c>
      <c r="J459">
        <f t="shared" si="8"/>
        <v>100</v>
      </c>
    </row>
    <row r="460" spans="1:10">
      <c r="A460" s="6">
        <v>46156</v>
      </c>
      <c r="B460" t="s">
        <v>701</v>
      </c>
      <c r="C460" t="s">
        <v>497</v>
      </c>
      <c r="D460" t="s">
        <v>498</v>
      </c>
      <c r="E460" t="s">
        <v>702</v>
      </c>
      <c r="F460" t="s">
        <v>703</v>
      </c>
      <c r="G460" s="6">
        <v>46156</v>
      </c>
      <c r="H460" t="s">
        <v>766</v>
      </c>
      <c r="I460" t="s">
        <v>550</v>
      </c>
      <c r="J460">
        <f t="shared" si="8"/>
        <v>50</v>
      </c>
    </row>
    <row r="461" spans="1:10" hidden="1">
      <c r="A461" s="6">
        <v>46156</v>
      </c>
      <c r="B461" t="s">
        <v>170</v>
      </c>
      <c r="C461" t="s">
        <v>171</v>
      </c>
      <c r="D461" t="s">
        <v>15</v>
      </c>
      <c r="E461" t="s">
        <v>501</v>
      </c>
      <c r="F461" t="s">
        <v>767</v>
      </c>
      <c r="G461" s="6">
        <v>46156</v>
      </c>
      <c r="H461" t="s">
        <v>57</v>
      </c>
      <c r="I461" s="13" t="s">
        <v>19</v>
      </c>
      <c r="J461">
        <f t="shared" si="8"/>
        <v>100</v>
      </c>
    </row>
    <row r="462" spans="1:10" hidden="1">
      <c r="A462" s="6">
        <v>46156</v>
      </c>
      <c r="B462" t="s">
        <v>768</v>
      </c>
      <c r="C462" t="s">
        <v>162</v>
      </c>
      <c r="D462" t="s">
        <v>166</v>
      </c>
      <c r="E462" t="s">
        <v>440</v>
      </c>
      <c r="F462" t="s">
        <v>769</v>
      </c>
      <c r="G462" s="6">
        <v>46156</v>
      </c>
      <c r="H462" t="s">
        <v>18</v>
      </c>
      <c r="I462" s="13" t="s">
        <v>19</v>
      </c>
      <c r="J462">
        <f t="shared" si="8"/>
        <v>100</v>
      </c>
    </row>
    <row r="463" spans="1:10" ht="15" hidden="1">
      <c r="A463" s="6">
        <v>46156</v>
      </c>
      <c r="B463" t="s">
        <v>389</v>
      </c>
      <c r="C463" s="7" t="s">
        <v>514</v>
      </c>
      <c r="D463" t="s">
        <v>15</v>
      </c>
      <c r="E463" t="s">
        <v>391</v>
      </c>
      <c r="F463" t="s">
        <v>770</v>
      </c>
      <c r="G463" s="6">
        <v>46156</v>
      </c>
      <c r="H463" t="s">
        <v>57</v>
      </c>
      <c r="I463" s="13" t="s">
        <v>19</v>
      </c>
      <c r="J463">
        <f t="shared" si="8"/>
        <v>100</v>
      </c>
    </row>
    <row r="464" spans="1:10" ht="15" hidden="1">
      <c r="A464" s="40">
        <v>46156</v>
      </c>
      <c r="B464" s="7" t="s">
        <v>389</v>
      </c>
      <c r="C464" s="7" t="s">
        <v>271</v>
      </c>
      <c r="D464" s="7" t="s">
        <v>15</v>
      </c>
      <c r="E464" t="s">
        <v>771</v>
      </c>
      <c r="F464" t="s">
        <v>772</v>
      </c>
      <c r="G464" s="6">
        <v>46156</v>
      </c>
      <c r="H464" t="s">
        <v>18</v>
      </c>
      <c r="I464" s="13" t="s">
        <v>19</v>
      </c>
      <c r="J464">
        <f t="shared" si="8"/>
        <v>100</v>
      </c>
    </row>
    <row r="465" spans="1:10">
      <c r="A465" s="6">
        <v>46156</v>
      </c>
      <c r="B465" t="s">
        <v>222</v>
      </c>
      <c r="C465" t="s">
        <v>162</v>
      </c>
      <c r="D465" t="s">
        <v>179</v>
      </c>
      <c r="E465" t="s">
        <v>226</v>
      </c>
      <c r="F465" t="s">
        <v>773</v>
      </c>
      <c r="G465" s="6">
        <v>46156</v>
      </c>
      <c r="H465" t="s">
        <v>57</v>
      </c>
      <c r="I465" t="s">
        <v>51</v>
      </c>
      <c r="J465">
        <f t="shared" si="8"/>
        <v>50</v>
      </c>
    </row>
    <row r="466" spans="1:10" hidden="1">
      <c r="A466" s="6">
        <v>46156</v>
      </c>
      <c r="B466" t="s">
        <v>222</v>
      </c>
      <c r="C466" t="s">
        <v>162</v>
      </c>
      <c r="D466" t="s">
        <v>179</v>
      </c>
      <c r="E466" t="s">
        <v>247</v>
      </c>
      <c r="F466" t="s">
        <v>774</v>
      </c>
      <c r="G466" s="6">
        <v>46156</v>
      </c>
      <c r="H466" t="s">
        <v>153</v>
      </c>
      <c r="I466" s="13" t="s">
        <v>19</v>
      </c>
      <c r="J466">
        <f t="shared" si="8"/>
        <v>100</v>
      </c>
    </row>
    <row r="467" spans="1:10" hidden="1">
      <c r="A467" s="6">
        <v>46156</v>
      </c>
      <c r="B467" t="s">
        <v>290</v>
      </c>
      <c r="C467" t="s">
        <v>162</v>
      </c>
      <c r="D467" t="s">
        <v>176</v>
      </c>
      <c r="E467" t="s">
        <v>775</v>
      </c>
      <c r="F467" t="s">
        <v>776</v>
      </c>
      <c r="G467" s="6">
        <v>46156</v>
      </c>
      <c r="H467" t="s">
        <v>57</v>
      </c>
      <c r="I467" s="13" t="s">
        <v>19</v>
      </c>
      <c r="J467">
        <f t="shared" si="8"/>
        <v>100</v>
      </c>
    </row>
    <row r="468" spans="1:10">
      <c r="A468" s="6">
        <v>46156</v>
      </c>
      <c r="B468" t="s">
        <v>27</v>
      </c>
      <c r="C468" t="s">
        <v>28</v>
      </c>
      <c r="D468" t="s">
        <v>15</v>
      </c>
      <c r="E468" t="s">
        <v>32</v>
      </c>
      <c r="F468" t="s">
        <v>777</v>
      </c>
      <c r="G468" s="2">
        <v>46156</v>
      </c>
      <c r="H468" t="s">
        <v>18</v>
      </c>
      <c r="I468" t="s">
        <v>51</v>
      </c>
      <c r="J468">
        <f t="shared" si="8"/>
        <v>50</v>
      </c>
    </row>
    <row r="469" spans="1:10">
      <c r="A469" s="6">
        <v>46156</v>
      </c>
      <c r="B469" t="s">
        <v>27</v>
      </c>
      <c r="C469" t="s">
        <v>28</v>
      </c>
      <c r="D469" t="s">
        <v>15</v>
      </c>
      <c r="E469" t="s">
        <v>32</v>
      </c>
      <c r="F469" t="s">
        <v>778</v>
      </c>
      <c r="G469" s="2">
        <v>46156</v>
      </c>
      <c r="H469" t="s">
        <v>18</v>
      </c>
      <c r="I469" t="s">
        <v>51</v>
      </c>
      <c r="J469">
        <f t="shared" si="8"/>
        <v>50</v>
      </c>
    </row>
    <row r="470" spans="1:10" ht="15">
      <c r="A470" s="6">
        <v>46156</v>
      </c>
      <c r="B470" t="s">
        <v>716</v>
      </c>
      <c r="C470" t="s">
        <v>136</v>
      </c>
      <c r="D470" t="s">
        <v>15</v>
      </c>
      <c r="E470" t="s">
        <v>32</v>
      </c>
      <c r="F470" t="s">
        <v>779</v>
      </c>
      <c r="G470" s="20">
        <v>46156</v>
      </c>
      <c r="H470" t="s">
        <v>18</v>
      </c>
      <c r="I470" t="s">
        <v>51</v>
      </c>
      <c r="J470">
        <f t="shared" si="8"/>
        <v>50</v>
      </c>
    </row>
    <row r="471" spans="1:10" ht="15">
      <c r="A471" s="6">
        <v>46156</v>
      </c>
      <c r="B471" t="s">
        <v>716</v>
      </c>
      <c r="C471" t="s">
        <v>136</v>
      </c>
      <c r="D471" t="s">
        <v>15</v>
      </c>
      <c r="E471" t="s">
        <v>32</v>
      </c>
      <c r="F471" t="s">
        <v>780</v>
      </c>
      <c r="G471" s="20">
        <v>46156</v>
      </c>
      <c r="H471" t="s">
        <v>18</v>
      </c>
      <c r="I471" t="s">
        <v>51</v>
      </c>
      <c r="J471">
        <f t="shared" si="8"/>
        <v>50</v>
      </c>
    </row>
    <row r="472" spans="1:10">
      <c r="A472" s="6">
        <v>46156</v>
      </c>
      <c r="B472" t="s">
        <v>716</v>
      </c>
      <c r="C472" t="s">
        <v>136</v>
      </c>
      <c r="D472" t="s">
        <v>15</v>
      </c>
      <c r="E472" t="s">
        <v>32</v>
      </c>
      <c r="F472" t="s">
        <v>781</v>
      </c>
      <c r="G472" s="6">
        <v>46156</v>
      </c>
      <c r="H472" t="s">
        <v>18</v>
      </c>
      <c r="I472" t="s">
        <v>721</v>
      </c>
      <c r="J472">
        <f t="shared" si="8"/>
        <v>0</v>
      </c>
    </row>
    <row r="473" spans="1:10" hidden="1">
      <c r="A473" s="6">
        <v>46156</v>
      </c>
      <c r="B473" t="s">
        <v>165</v>
      </c>
      <c r="C473" t="s">
        <v>162</v>
      </c>
      <c r="D473" t="s">
        <v>782</v>
      </c>
      <c r="E473" t="s">
        <v>683</v>
      </c>
      <c r="F473" t="s">
        <v>783</v>
      </c>
      <c r="G473" s="6">
        <v>46156</v>
      </c>
      <c r="H473" t="s">
        <v>57</v>
      </c>
      <c r="I473" s="13" t="s">
        <v>19</v>
      </c>
      <c r="J473">
        <f t="shared" si="8"/>
        <v>100</v>
      </c>
    </row>
    <row r="474" spans="1:10" hidden="1">
      <c r="A474" s="6">
        <v>46156</v>
      </c>
      <c r="B474" t="s">
        <v>165</v>
      </c>
      <c r="C474" t="s">
        <v>162</v>
      </c>
      <c r="D474" t="s">
        <v>166</v>
      </c>
      <c r="E474" t="s">
        <v>467</v>
      </c>
      <c r="F474" t="s">
        <v>784</v>
      </c>
      <c r="G474" s="6">
        <v>46156</v>
      </c>
      <c r="H474" t="s">
        <v>552</v>
      </c>
      <c r="I474" s="13" t="s">
        <v>539</v>
      </c>
      <c r="J474">
        <f t="shared" si="8"/>
        <v>100</v>
      </c>
    </row>
    <row r="475" spans="1:10" hidden="1">
      <c r="A475" s="6">
        <v>46156</v>
      </c>
      <c r="B475" t="s">
        <v>165</v>
      </c>
      <c r="C475" t="s">
        <v>162</v>
      </c>
      <c r="D475" t="s">
        <v>166</v>
      </c>
      <c r="E475" t="s">
        <v>785</v>
      </c>
      <c r="F475" t="s">
        <v>786</v>
      </c>
      <c r="G475" s="6">
        <v>46156</v>
      </c>
      <c r="H475" t="s">
        <v>552</v>
      </c>
      <c r="I475" s="13" t="s">
        <v>539</v>
      </c>
      <c r="J475">
        <f t="shared" si="8"/>
        <v>100</v>
      </c>
    </row>
    <row r="476" spans="1:10" hidden="1">
      <c r="A476" s="6">
        <v>46156</v>
      </c>
      <c r="B476" t="s">
        <v>242</v>
      </c>
      <c r="C476" t="s">
        <v>339</v>
      </c>
      <c r="D476" t="s">
        <v>340</v>
      </c>
      <c r="E476" t="s">
        <v>503</v>
      </c>
      <c r="F476" t="s">
        <v>787</v>
      </c>
      <c r="G476" s="6">
        <v>46157</v>
      </c>
      <c r="H476" t="s">
        <v>552</v>
      </c>
      <c r="I476" s="13" t="s">
        <v>19</v>
      </c>
      <c r="J476">
        <f t="shared" si="8"/>
        <v>100</v>
      </c>
    </row>
    <row r="477" spans="1:10" hidden="1">
      <c r="A477" s="6">
        <v>46156</v>
      </c>
      <c r="B477" t="s">
        <v>242</v>
      </c>
      <c r="C477" t="s">
        <v>339</v>
      </c>
      <c r="D477" t="s">
        <v>340</v>
      </c>
      <c r="E477" t="s">
        <v>503</v>
      </c>
      <c r="F477" t="s">
        <v>788</v>
      </c>
      <c r="G477" s="6">
        <v>46156</v>
      </c>
      <c r="H477" t="s">
        <v>541</v>
      </c>
      <c r="I477" s="13" t="s">
        <v>19</v>
      </c>
      <c r="J477">
        <f t="shared" si="8"/>
        <v>100</v>
      </c>
    </row>
    <row r="478" spans="1:10" hidden="1">
      <c r="A478" s="6">
        <v>46156</v>
      </c>
      <c r="B478" t="s">
        <v>283</v>
      </c>
      <c r="C478" t="s">
        <v>162</v>
      </c>
      <c r="D478" t="s">
        <v>176</v>
      </c>
      <c r="E478" t="s">
        <v>467</v>
      </c>
      <c r="F478" t="s">
        <v>789</v>
      </c>
      <c r="G478" s="6">
        <v>46156</v>
      </c>
      <c r="H478" t="s">
        <v>552</v>
      </c>
      <c r="I478" s="13" t="s">
        <v>539</v>
      </c>
      <c r="J478">
        <f t="shared" si="8"/>
        <v>100</v>
      </c>
    </row>
    <row r="479" spans="1:10" hidden="1">
      <c r="A479" s="6">
        <v>46156</v>
      </c>
      <c r="B479" t="s">
        <v>283</v>
      </c>
      <c r="C479" t="s">
        <v>162</v>
      </c>
      <c r="D479" t="s">
        <v>176</v>
      </c>
      <c r="E479" t="s">
        <v>790</v>
      </c>
      <c r="F479" t="s">
        <v>791</v>
      </c>
      <c r="G479" s="6">
        <v>46156</v>
      </c>
      <c r="H479" t="s">
        <v>552</v>
      </c>
      <c r="I479" s="13" t="s">
        <v>539</v>
      </c>
      <c r="J479">
        <f t="shared" si="8"/>
        <v>100</v>
      </c>
    </row>
    <row r="480" spans="1:10" hidden="1">
      <c r="A480" s="6">
        <v>46156</v>
      </c>
      <c r="B480" t="s">
        <v>349</v>
      </c>
      <c r="C480" t="s">
        <v>23</v>
      </c>
      <c r="D480" t="s">
        <v>15</v>
      </c>
      <c r="E480" t="s">
        <v>136</v>
      </c>
      <c r="F480" t="s">
        <v>792</v>
      </c>
      <c r="G480" s="6">
        <v>46156</v>
      </c>
      <c r="H480" t="s">
        <v>57</v>
      </c>
      <c r="I480" s="13" t="s">
        <v>19</v>
      </c>
      <c r="J480">
        <f t="shared" si="8"/>
        <v>100</v>
      </c>
    </row>
    <row r="481" spans="1:11" hidden="1">
      <c r="A481" s="6">
        <v>46156</v>
      </c>
      <c r="B481" t="s">
        <v>349</v>
      </c>
      <c r="C481" t="s">
        <v>23</v>
      </c>
      <c r="D481" t="s">
        <v>15</v>
      </c>
      <c r="E481" t="s">
        <v>501</v>
      </c>
      <c r="F481" t="s">
        <v>793</v>
      </c>
      <c r="G481" s="6">
        <v>46156</v>
      </c>
      <c r="H481" t="s">
        <v>57</v>
      </c>
      <c r="I481" s="13" t="s">
        <v>19</v>
      </c>
      <c r="J481">
        <f t="shared" si="8"/>
        <v>100</v>
      </c>
    </row>
    <row r="482" spans="1:11" hidden="1">
      <c r="A482" s="4" t="s">
        <v>794</v>
      </c>
      <c r="B482" t="s">
        <v>234</v>
      </c>
      <c r="C482" t="s">
        <v>162</v>
      </c>
      <c r="D482" t="s">
        <v>176</v>
      </c>
      <c r="E482" t="s">
        <v>595</v>
      </c>
      <c r="F482" t="s">
        <v>795</v>
      </c>
      <c r="G482" s="6">
        <v>46156</v>
      </c>
      <c r="H482" t="s">
        <v>18</v>
      </c>
      <c r="I482" s="13" t="s">
        <v>19</v>
      </c>
      <c r="J482">
        <f t="shared" si="8"/>
        <v>100</v>
      </c>
    </row>
    <row r="483" spans="1:11" hidden="1">
      <c r="A483" s="6">
        <v>46156</v>
      </c>
      <c r="B483" t="s">
        <v>178</v>
      </c>
      <c r="C483" t="s">
        <v>162</v>
      </c>
      <c r="D483" t="s">
        <v>179</v>
      </c>
      <c r="E483" t="s">
        <v>796</v>
      </c>
      <c r="F483" t="s">
        <v>797</v>
      </c>
      <c r="G483" s="6">
        <v>46156</v>
      </c>
      <c r="H483" t="s">
        <v>18</v>
      </c>
      <c r="I483" s="13" t="s">
        <v>19</v>
      </c>
      <c r="J483">
        <f t="shared" si="8"/>
        <v>100</v>
      </c>
    </row>
    <row r="484" spans="1:11" hidden="1">
      <c r="A484" s="6">
        <v>46156</v>
      </c>
      <c r="B484" t="s">
        <v>178</v>
      </c>
      <c r="C484" t="s">
        <v>162</v>
      </c>
      <c r="D484" t="s">
        <v>179</v>
      </c>
      <c r="E484" t="s">
        <v>467</v>
      </c>
      <c r="F484" t="s">
        <v>798</v>
      </c>
      <c r="G484" s="6">
        <v>46156</v>
      </c>
      <c r="H484" t="s">
        <v>18</v>
      </c>
      <c r="I484" s="13" t="s">
        <v>19</v>
      </c>
      <c r="J484">
        <f t="shared" si="8"/>
        <v>100</v>
      </c>
    </row>
    <row r="485" spans="1:11" hidden="1">
      <c r="A485" s="6">
        <v>46156</v>
      </c>
      <c r="B485" t="s">
        <v>799</v>
      </c>
      <c r="C485" t="s">
        <v>162</v>
      </c>
      <c r="D485" t="s">
        <v>176</v>
      </c>
      <c r="E485" t="s">
        <v>800</v>
      </c>
      <c r="F485" t="s">
        <v>801</v>
      </c>
      <c r="G485" s="6">
        <v>46156</v>
      </c>
      <c r="H485" t="s">
        <v>57</v>
      </c>
      <c r="I485" s="13" t="s">
        <v>539</v>
      </c>
      <c r="J485">
        <f t="shared" si="8"/>
        <v>100</v>
      </c>
    </row>
    <row r="486" spans="1:11" hidden="1">
      <c r="A486" s="6">
        <v>46156</v>
      </c>
      <c r="B486" t="s">
        <v>799</v>
      </c>
      <c r="C486" t="s">
        <v>162</v>
      </c>
      <c r="D486" t="s">
        <v>176</v>
      </c>
      <c r="E486" t="s">
        <v>678</v>
      </c>
      <c r="F486" t="s">
        <v>802</v>
      </c>
      <c r="G486" s="6">
        <v>46156</v>
      </c>
      <c r="H486" t="s">
        <v>57</v>
      </c>
      <c r="I486" s="13" t="s">
        <v>539</v>
      </c>
      <c r="J486">
        <f t="shared" si="8"/>
        <v>100</v>
      </c>
    </row>
    <row r="487" spans="1:11" hidden="1">
      <c r="A487" s="6">
        <v>46157</v>
      </c>
      <c r="B487" t="s">
        <v>242</v>
      </c>
      <c r="C487" t="s">
        <v>339</v>
      </c>
      <c r="D487" t="s">
        <v>340</v>
      </c>
      <c r="E487" t="s">
        <v>503</v>
      </c>
      <c r="F487" t="s">
        <v>803</v>
      </c>
      <c r="G487" s="6">
        <v>46157</v>
      </c>
      <c r="H487" t="s">
        <v>57</v>
      </c>
      <c r="I487" s="13" t="s">
        <v>19</v>
      </c>
      <c r="J487">
        <f t="shared" si="8"/>
        <v>100</v>
      </c>
      <c r="K487" t="s">
        <v>804</v>
      </c>
    </row>
    <row r="488" spans="1:11" hidden="1">
      <c r="A488" s="6">
        <v>46157</v>
      </c>
      <c r="B488" t="s">
        <v>234</v>
      </c>
      <c r="C488" t="s">
        <v>162</v>
      </c>
      <c r="D488" t="s">
        <v>176</v>
      </c>
      <c r="E488" t="s">
        <v>805</v>
      </c>
      <c r="F488" t="s">
        <v>806</v>
      </c>
      <c r="G488" s="6">
        <v>46156</v>
      </c>
      <c r="H488" t="s">
        <v>18</v>
      </c>
      <c r="I488" s="13" t="s">
        <v>19</v>
      </c>
      <c r="J488">
        <f t="shared" si="8"/>
        <v>100</v>
      </c>
    </row>
    <row r="489" spans="1:11" hidden="1">
      <c r="A489" s="6">
        <v>46157</v>
      </c>
      <c r="B489" t="s">
        <v>250</v>
      </c>
      <c r="C489" t="s">
        <v>733</v>
      </c>
      <c r="D489" t="s">
        <v>166</v>
      </c>
      <c r="E489" t="s">
        <v>805</v>
      </c>
      <c r="F489" t="s">
        <v>807</v>
      </c>
      <c r="G489" s="6">
        <v>46157</v>
      </c>
      <c r="H489" t="s">
        <v>18</v>
      </c>
      <c r="I489" s="13" t="s">
        <v>19</v>
      </c>
      <c r="J489">
        <f t="shared" si="8"/>
        <v>100</v>
      </c>
    </row>
    <row r="490" spans="1:11" hidden="1">
      <c r="A490" s="6">
        <v>46157</v>
      </c>
      <c r="B490" t="s">
        <v>170</v>
      </c>
      <c r="C490" t="s">
        <v>171</v>
      </c>
      <c r="D490" t="s">
        <v>15</v>
      </c>
      <c r="E490" t="s">
        <v>501</v>
      </c>
      <c r="F490" t="s">
        <v>767</v>
      </c>
      <c r="G490" s="6">
        <v>46157</v>
      </c>
      <c r="H490" t="s">
        <v>57</v>
      </c>
      <c r="I490" s="13" t="s">
        <v>19</v>
      </c>
      <c r="J490">
        <f t="shared" si="8"/>
        <v>100</v>
      </c>
    </row>
    <row r="491" spans="1:11" hidden="1">
      <c r="A491" s="6">
        <v>46157</v>
      </c>
      <c r="B491" t="s">
        <v>326</v>
      </c>
      <c r="C491" t="s">
        <v>327</v>
      </c>
      <c r="D491" t="s">
        <v>176</v>
      </c>
      <c r="E491" t="s">
        <v>808</v>
      </c>
      <c r="G491" s="6">
        <v>46157</v>
      </c>
      <c r="H491" t="s">
        <v>18</v>
      </c>
      <c r="I491" s="13" t="s">
        <v>19</v>
      </c>
      <c r="J491">
        <f t="shared" si="8"/>
        <v>100</v>
      </c>
    </row>
    <row r="492" spans="1:11" ht="15" hidden="1">
      <c r="A492" s="6">
        <v>46157</v>
      </c>
      <c r="B492" t="s">
        <v>326</v>
      </c>
      <c r="C492" t="s">
        <v>327</v>
      </c>
      <c r="D492" t="s">
        <v>176</v>
      </c>
      <c r="E492" t="s">
        <v>809</v>
      </c>
      <c r="F492" s="7" t="s">
        <v>810</v>
      </c>
      <c r="G492" s="6">
        <v>46157</v>
      </c>
      <c r="H492" t="s">
        <v>18</v>
      </c>
      <c r="I492" s="13" t="s">
        <v>19</v>
      </c>
      <c r="J492">
        <f t="shared" si="8"/>
        <v>100</v>
      </c>
    </row>
    <row r="493" spans="1:11" hidden="1">
      <c r="A493" s="6">
        <v>46157</v>
      </c>
      <c r="B493" t="s">
        <v>326</v>
      </c>
      <c r="C493" t="s">
        <v>327</v>
      </c>
      <c r="D493" t="s">
        <v>176</v>
      </c>
      <c r="E493" t="s">
        <v>811</v>
      </c>
      <c r="F493" t="s">
        <v>812</v>
      </c>
      <c r="G493" s="6">
        <v>46157</v>
      </c>
      <c r="H493" t="s">
        <v>57</v>
      </c>
      <c r="I493" s="13" t="s">
        <v>19</v>
      </c>
      <c r="J493">
        <f t="shared" si="8"/>
        <v>100</v>
      </c>
    </row>
    <row r="494" spans="1:11" hidden="1">
      <c r="A494" s="6">
        <v>46157</v>
      </c>
      <c r="B494" t="s">
        <v>326</v>
      </c>
      <c r="C494" t="s">
        <v>327</v>
      </c>
      <c r="D494" t="s">
        <v>176</v>
      </c>
      <c r="E494" t="s">
        <v>813</v>
      </c>
      <c r="F494" t="s">
        <v>814</v>
      </c>
      <c r="G494" s="6">
        <v>46157</v>
      </c>
      <c r="H494" t="s">
        <v>18</v>
      </c>
      <c r="I494" s="13" t="s">
        <v>19</v>
      </c>
      <c r="J494">
        <f t="shared" si="8"/>
        <v>100</v>
      </c>
    </row>
    <row r="495" spans="1:11" hidden="1">
      <c r="A495" s="6">
        <v>46157</v>
      </c>
      <c r="B495" t="s">
        <v>701</v>
      </c>
      <c r="C495" t="s">
        <v>497</v>
      </c>
      <c r="D495" t="s">
        <v>498</v>
      </c>
      <c r="E495" t="s">
        <v>702</v>
      </c>
      <c r="F495" t="s">
        <v>703</v>
      </c>
      <c r="G495" s="6">
        <v>46157</v>
      </c>
      <c r="H495" t="s">
        <v>541</v>
      </c>
      <c r="I495" s="13" t="s">
        <v>19</v>
      </c>
      <c r="J495">
        <f t="shared" si="8"/>
        <v>100</v>
      </c>
      <c r="K495" t="s">
        <v>544</v>
      </c>
    </row>
    <row r="496" spans="1:11">
      <c r="A496" s="6">
        <v>46157</v>
      </c>
      <c r="B496" t="s">
        <v>701</v>
      </c>
      <c r="C496" t="s">
        <v>497</v>
      </c>
      <c r="D496" t="s">
        <v>498</v>
      </c>
      <c r="E496" t="s">
        <v>815</v>
      </c>
      <c r="F496" t="s">
        <v>500</v>
      </c>
      <c r="G496" s="6">
        <v>46157</v>
      </c>
      <c r="H496" t="s">
        <v>18</v>
      </c>
      <c r="I496" t="s">
        <v>51</v>
      </c>
      <c r="J496">
        <f t="shared" si="8"/>
        <v>50</v>
      </c>
    </row>
    <row r="497" spans="1:10" hidden="1">
      <c r="A497" s="6">
        <v>46157</v>
      </c>
      <c r="B497" t="s">
        <v>323</v>
      </c>
      <c r="C497" t="s">
        <v>23</v>
      </c>
      <c r="D497" t="s">
        <v>15</v>
      </c>
      <c r="E497" t="s">
        <v>478</v>
      </c>
      <c r="F497" t="s">
        <v>816</v>
      </c>
      <c r="G497" s="6">
        <v>46157</v>
      </c>
      <c r="H497" t="s">
        <v>18</v>
      </c>
      <c r="I497" s="13" t="s">
        <v>19</v>
      </c>
      <c r="J497">
        <f t="shared" si="8"/>
        <v>100</v>
      </c>
    </row>
    <row r="498" spans="1:10">
      <c r="A498" s="6">
        <v>46157</v>
      </c>
      <c r="B498" t="s">
        <v>716</v>
      </c>
      <c r="C498" t="s">
        <v>136</v>
      </c>
      <c r="D498" t="s">
        <v>15</v>
      </c>
      <c r="E498" t="s">
        <v>32</v>
      </c>
      <c r="F498" t="s">
        <v>817</v>
      </c>
      <c r="H498" t="s">
        <v>18</v>
      </c>
      <c r="I498" t="s">
        <v>51</v>
      </c>
      <c r="J498">
        <f t="shared" si="8"/>
        <v>50</v>
      </c>
    </row>
    <row r="499" spans="1:10" hidden="1">
      <c r="A499" s="6">
        <v>46157</v>
      </c>
      <c r="B499" t="s">
        <v>107</v>
      </c>
      <c r="C499" t="s">
        <v>108</v>
      </c>
      <c r="D499" t="s">
        <v>15</v>
      </c>
      <c r="E499" t="s">
        <v>127</v>
      </c>
      <c r="F499" t="s">
        <v>563</v>
      </c>
      <c r="H499" t="s">
        <v>541</v>
      </c>
      <c r="I499" s="13" t="s">
        <v>19</v>
      </c>
      <c r="J499">
        <f t="shared" si="8"/>
        <v>100</v>
      </c>
    </row>
    <row r="500" spans="1:10" hidden="1">
      <c r="A500" s="6">
        <v>46157</v>
      </c>
      <c r="B500" t="s">
        <v>107</v>
      </c>
      <c r="C500" t="s">
        <v>108</v>
      </c>
      <c r="D500" t="s">
        <v>15</v>
      </c>
      <c r="E500" t="s">
        <v>127</v>
      </c>
      <c r="F500" t="s">
        <v>818</v>
      </c>
      <c r="H500" t="s">
        <v>541</v>
      </c>
      <c r="I500" s="13" t="s">
        <v>19</v>
      </c>
      <c r="J500">
        <f t="shared" si="8"/>
        <v>100</v>
      </c>
    </row>
    <row r="501" spans="1:10" ht="14.25" hidden="1">
      <c r="A501" s="6">
        <v>46157</v>
      </c>
      <c r="B501" t="s">
        <v>107</v>
      </c>
      <c r="C501" t="s">
        <v>108</v>
      </c>
      <c r="D501" t="s">
        <v>15</v>
      </c>
      <c r="E501" t="s">
        <v>127</v>
      </c>
      <c r="F501" s="23" t="s">
        <v>819</v>
      </c>
      <c r="H501" t="s">
        <v>541</v>
      </c>
      <c r="I501" s="13" t="s">
        <v>19</v>
      </c>
      <c r="J501">
        <f t="shared" si="8"/>
        <v>100</v>
      </c>
    </row>
    <row r="502" spans="1:10" ht="14.25" hidden="1">
      <c r="A502" s="6">
        <v>46157</v>
      </c>
      <c r="B502" t="s">
        <v>107</v>
      </c>
      <c r="C502" t="s">
        <v>108</v>
      </c>
      <c r="D502" t="s">
        <v>15</v>
      </c>
      <c r="E502" t="s">
        <v>127</v>
      </c>
      <c r="F502" s="23" t="s">
        <v>820</v>
      </c>
      <c r="H502" t="s">
        <v>541</v>
      </c>
      <c r="I502" s="13" t="s">
        <v>19</v>
      </c>
      <c r="J502">
        <f t="shared" si="8"/>
        <v>100</v>
      </c>
    </row>
    <row r="503" spans="1:10" hidden="1">
      <c r="A503" s="6">
        <v>46157</v>
      </c>
      <c r="B503" t="s">
        <v>107</v>
      </c>
      <c r="C503" t="s">
        <v>108</v>
      </c>
      <c r="D503" t="s">
        <v>15</v>
      </c>
      <c r="E503" t="s">
        <v>127</v>
      </c>
      <c r="F503" t="s">
        <v>821</v>
      </c>
      <c r="H503" t="s">
        <v>541</v>
      </c>
      <c r="I503" s="13" t="s">
        <v>19</v>
      </c>
      <c r="J503">
        <f t="shared" si="8"/>
        <v>100</v>
      </c>
    </row>
    <row r="504" spans="1:10" hidden="1">
      <c r="A504" s="6">
        <v>46157</v>
      </c>
      <c r="B504" t="s">
        <v>107</v>
      </c>
      <c r="C504" t="s">
        <v>108</v>
      </c>
      <c r="D504" t="s">
        <v>15</v>
      </c>
      <c r="E504" t="s">
        <v>133</v>
      </c>
      <c r="F504" t="s">
        <v>134</v>
      </c>
      <c r="H504" t="s">
        <v>541</v>
      </c>
      <c r="I504" s="13" t="s">
        <v>19</v>
      </c>
      <c r="J504">
        <f t="shared" si="8"/>
        <v>100</v>
      </c>
    </row>
    <row r="505" spans="1:10">
      <c r="A505" s="6">
        <v>46157</v>
      </c>
      <c r="B505" t="s">
        <v>107</v>
      </c>
      <c r="C505" t="s">
        <v>108</v>
      </c>
      <c r="D505" t="s">
        <v>15</v>
      </c>
      <c r="E505" t="s">
        <v>119</v>
      </c>
      <c r="F505" t="s">
        <v>120</v>
      </c>
      <c r="H505" t="s">
        <v>541</v>
      </c>
      <c r="I505" t="s">
        <v>51</v>
      </c>
      <c r="J505">
        <f t="shared" si="8"/>
        <v>50</v>
      </c>
    </row>
    <row r="506" spans="1:10" hidden="1">
      <c r="A506" s="6">
        <v>46157</v>
      </c>
      <c r="B506" t="s">
        <v>460</v>
      </c>
      <c r="C506" t="s">
        <v>162</v>
      </c>
      <c r="D506" t="s">
        <v>176</v>
      </c>
      <c r="E506" t="s">
        <v>467</v>
      </c>
      <c r="F506" t="s">
        <v>822</v>
      </c>
      <c r="G506" s="6">
        <v>46157</v>
      </c>
      <c r="H506" t="s">
        <v>541</v>
      </c>
      <c r="I506" s="13" t="s">
        <v>19</v>
      </c>
      <c r="J506">
        <f t="shared" si="8"/>
        <v>100</v>
      </c>
    </row>
    <row r="507" spans="1:10" hidden="1">
      <c r="A507" s="6">
        <v>46157</v>
      </c>
      <c r="B507" t="s">
        <v>290</v>
      </c>
      <c r="C507" t="s">
        <v>162</v>
      </c>
      <c r="D507" t="s">
        <v>176</v>
      </c>
      <c r="E507" t="s">
        <v>823</v>
      </c>
      <c r="F507" t="s">
        <v>824</v>
      </c>
      <c r="G507" s="6">
        <v>46157</v>
      </c>
      <c r="H507" t="s">
        <v>57</v>
      </c>
      <c r="I507" s="13" t="s">
        <v>19</v>
      </c>
      <c r="J507">
        <f t="shared" si="8"/>
        <v>100</v>
      </c>
    </row>
    <row r="508" spans="1:10" hidden="1">
      <c r="A508" s="6">
        <v>46157</v>
      </c>
      <c r="B508" t="s">
        <v>283</v>
      </c>
      <c r="C508" t="s">
        <v>162</v>
      </c>
      <c r="D508" t="s">
        <v>176</v>
      </c>
      <c r="E508" t="s">
        <v>467</v>
      </c>
      <c r="F508" t="s">
        <v>825</v>
      </c>
      <c r="G508" s="6">
        <v>46157</v>
      </c>
      <c r="H508" t="s">
        <v>57</v>
      </c>
      <c r="I508" s="13" t="s">
        <v>19</v>
      </c>
      <c r="J508">
        <f>IF(I508="Completed",100,IF(I508="Ongoing",50,IF(I508="For Review",75,IF(I508="Delayed",30,0))))</f>
        <v>100</v>
      </c>
    </row>
    <row r="509" spans="1:10" hidden="1">
      <c r="A509" s="6">
        <v>46157</v>
      </c>
      <c r="B509" t="s">
        <v>283</v>
      </c>
      <c r="C509" t="s">
        <v>162</v>
      </c>
      <c r="D509" t="s">
        <v>176</v>
      </c>
      <c r="E509" t="s">
        <v>478</v>
      </c>
      <c r="F509" t="s">
        <v>826</v>
      </c>
      <c r="G509" s="6">
        <v>46157</v>
      </c>
      <c r="H509" t="s">
        <v>18</v>
      </c>
      <c r="I509" s="13" t="s">
        <v>19</v>
      </c>
      <c r="J509">
        <f>IF(I509="Completed",100,IF(I509="Ongoing",50,IF(I509="For Review",75,IF(I509="Delayed",30,0))))</f>
        <v>100</v>
      </c>
    </row>
    <row r="510" spans="1:10" hidden="1">
      <c r="A510" s="6">
        <v>46158</v>
      </c>
      <c r="B510" t="s">
        <v>454</v>
      </c>
      <c r="C510" t="s">
        <v>162</v>
      </c>
      <c r="D510" t="s">
        <v>163</v>
      </c>
      <c r="E510" t="s">
        <v>226</v>
      </c>
      <c r="F510" t="s">
        <v>827</v>
      </c>
      <c r="G510" s="6">
        <v>46158</v>
      </c>
      <c r="H510" t="s">
        <v>18</v>
      </c>
      <c r="I510" s="13" t="s">
        <v>19</v>
      </c>
      <c r="J510">
        <f t="shared" ref="J510:J511" si="9">IF(I510="Completed",100,IF(I510="Ongoing",50,IF(I510="For Review",75,IF(I510="Delayed",30,0))))</f>
        <v>100</v>
      </c>
    </row>
    <row r="511" spans="1:10" hidden="1">
      <c r="A511" s="6">
        <v>46158</v>
      </c>
      <c r="B511" t="s">
        <v>234</v>
      </c>
      <c r="C511" t="s">
        <v>162</v>
      </c>
      <c r="D511" t="s">
        <v>176</v>
      </c>
      <c r="E511" t="s">
        <v>226</v>
      </c>
      <c r="F511" t="s">
        <v>828</v>
      </c>
      <c r="G511" s="6">
        <v>46158</v>
      </c>
      <c r="H511" t="s">
        <v>18</v>
      </c>
      <c r="I511" s="13" t="s">
        <v>19</v>
      </c>
      <c r="J511">
        <f t="shared" si="9"/>
        <v>100</v>
      </c>
    </row>
    <row r="512" spans="1:10" hidden="1">
      <c r="A512" s="6">
        <v>46158</v>
      </c>
      <c r="B512" t="s">
        <v>234</v>
      </c>
      <c r="C512" t="s">
        <v>162</v>
      </c>
      <c r="D512" t="s">
        <v>176</v>
      </c>
      <c r="E512" t="s">
        <v>467</v>
      </c>
      <c r="F512" t="s">
        <v>829</v>
      </c>
      <c r="G512" s="6">
        <v>46158</v>
      </c>
      <c r="H512" t="s">
        <v>830</v>
      </c>
      <c r="I512" s="13" t="s">
        <v>19</v>
      </c>
      <c r="J512">
        <f t="shared" si="8"/>
        <v>100</v>
      </c>
    </row>
    <row r="513" spans="1:10" hidden="1">
      <c r="A513" s="6">
        <v>46158</v>
      </c>
      <c r="B513" t="s">
        <v>831</v>
      </c>
      <c r="C513" t="s">
        <v>162</v>
      </c>
      <c r="D513" t="s">
        <v>176</v>
      </c>
      <c r="E513" t="s">
        <v>467</v>
      </c>
      <c r="F513" t="s">
        <v>832</v>
      </c>
      <c r="G513" s="6">
        <v>46158</v>
      </c>
      <c r="H513" t="s">
        <v>18</v>
      </c>
      <c r="I513" s="13" t="s">
        <v>19</v>
      </c>
      <c r="J513">
        <f t="shared" si="8"/>
        <v>100</v>
      </c>
    </row>
    <row r="514" spans="1:10" hidden="1">
      <c r="A514" s="6">
        <v>46160</v>
      </c>
      <c r="B514" t="s">
        <v>178</v>
      </c>
      <c r="C514" t="s">
        <v>162</v>
      </c>
      <c r="D514" t="s">
        <v>179</v>
      </c>
      <c r="E514" t="s">
        <v>467</v>
      </c>
      <c r="F514" t="s">
        <v>832</v>
      </c>
      <c r="G514" s="6">
        <v>46159</v>
      </c>
      <c r="H514" t="s">
        <v>18</v>
      </c>
      <c r="I514" s="13" t="s">
        <v>19</v>
      </c>
      <c r="J514">
        <f t="shared" si="8"/>
        <v>100</v>
      </c>
    </row>
    <row r="515" spans="1:10" hidden="1">
      <c r="A515" s="6">
        <v>46160</v>
      </c>
      <c r="B515" t="s">
        <v>178</v>
      </c>
      <c r="C515" t="s">
        <v>162</v>
      </c>
      <c r="D515" t="s">
        <v>179</v>
      </c>
      <c r="E515" t="s">
        <v>387</v>
      </c>
      <c r="F515" t="s">
        <v>833</v>
      </c>
      <c r="G515" s="6">
        <v>46159</v>
      </c>
      <c r="H515" t="s">
        <v>18</v>
      </c>
      <c r="I515" s="13" t="s">
        <v>19</v>
      </c>
      <c r="J515">
        <f t="shared" si="8"/>
        <v>100</v>
      </c>
    </row>
    <row r="516" spans="1:10" hidden="1">
      <c r="A516" s="6">
        <v>46160</v>
      </c>
      <c r="B516" t="s">
        <v>250</v>
      </c>
      <c r="C516" t="s">
        <v>162</v>
      </c>
      <c r="D516" t="s">
        <v>166</v>
      </c>
      <c r="E516" t="s">
        <v>467</v>
      </c>
      <c r="F516" t="s">
        <v>829</v>
      </c>
      <c r="G516" s="6">
        <v>46160</v>
      </c>
      <c r="H516" t="s">
        <v>18</v>
      </c>
      <c r="I516" s="13" t="s">
        <v>19</v>
      </c>
      <c r="J516">
        <f t="shared" si="8"/>
        <v>100</v>
      </c>
    </row>
    <row r="517" spans="1:10" hidden="1">
      <c r="A517" s="6">
        <v>46160</v>
      </c>
      <c r="B517" t="s">
        <v>170</v>
      </c>
      <c r="C517" t="s">
        <v>171</v>
      </c>
      <c r="D517" t="s">
        <v>15</v>
      </c>
      <c r="E517" t="s">
        <v>362</v>
      </c>
      <c r="F517" t="s">
        <v>363</v>
      </c>
      <c r="G517" s="6">
        <v>46162</v>
      </c>
      <c r="H517" t="s">
        <v>57</v>
      </c>
      <c r="I517" s="13" t="s">
        <v>19</v>
      </c>
      <c r="J517">
        <f t="shared" si="8"/>
        <v>100</v>
      </c>
    </row>
    <row r="518" spans="1:10">
      <c r="A518" s="6">
        <v>46160</v>
      </c>
      <c r="B518" t="s">
        <v>716</v>
      </c>
      <c r="C518" t="s">
        <v>136</v>
      </c>
      <c r="D518" t="s">
        <v>15</v>
      </c>
      <c r="E518" t="s">
        <v>32</v>
      </c>
      <c r="F518" t="s">
        <v>834</v>
      </c>
      <c r="H518" t="s">
        <v>18</v>
      </c>
      <c r="I518" t="s">
        <v>51</v>
      </c>
      <c r="J518">
        <f t="shared" si="8"/>
        <v>50</v>
      </c>
    </row>
    <row r="519" spans="1:10">
      <c r="A519" s="6">
        <v>46160</v>
      </c>
      <c r="B519" t="s">
        <v>835</v>
      </c>
      <c r="C519" t="s">
        <v>162</v>
      </c>
      <c r="D519" t="s">
        <v>179</v>
      </c>
      <c r="E519" t="s">
        <v>467</v>
      </c>
      <c r="F519" t="s">
        <v>836</v>
      </c>
      <c r="G519" s="6">
        <v>46160</v>
      </c>
      <c r="H519" t="s">
        <v>18</v>
      </c>
      <c r="I519" t="s">
        <v>51</v>
      </c>
      <c r="J519">
        <f t="shared" si="8"/>
        <v>50</v>
      </c>
    </row>
    <row r="520" spans="1:10" hidden="1">
      <c r="A520" s="6">
        <v>46160</v>
      </c>
      <c r="B520" t="s">
        <v>165</v>
      </c>
      <c r="C520" t="s">
        <v>162</v>
      </c>
      <c r="D520" t="s">
        <v>166</v>
      </c>
      <c r="E520" t="s">
        <v>467</v>
      </c>
      <c r="F520" t="s">
        <v>837</v>
      </c>
      <c r="G520" s="6">
        <v>46160</v>
      </c>
      <c r="H520" t="s">
        <v>552</v>
      </c>
      <c r="I520" s="13" t="s">
        <v>19</v>
      </c>
      <c r="J520">
        <f t="shared" si="8"/>
        <v>100</v>
      </c>
    </row>
    <row r="521" spans="1:10" ht="15" hidden="1">
      <c r="A521" s="6">
        <v>46160</v>
      </c>
      <c r="B521" t="s">
        <v>838</v>
      </c>
      <c r="C521" t="s">
        <v>162</v>
      </c>
      <c r="D521" t="s">
        <v>176</v>
      </c>
      <c r="E521" t="s">
        <v>467</v>
      </c>
      <c r="F521" t="s">
        <v>837</v>
      </c>
      <c r="G521" s="40">
        <v>46160</v>
      </c>
      <c r="H521" t="s">
        <v>552</v>
      </c>
      <c r="I521" s="13" t="s">
        <v>19</v>
      </c>
      <c r="J521">
        <f t="shared" si="8"/>
        <v>100</v>
      </c>
    </row>
    <row r="522" spans="1:10" ht="15" hidden="1">
      <c r="A522" s="6">
        <v>46160</v>
      </c>
      <c r="B522" t="s">
        <v>839</v>
      </c>
      <c r="C522" t="s">
        <v>162</v>
      </c>
      <c r="D522" t="s">
        <v>176</v>
      </c>
      <c r="E522" t="s">
        <v>467</v>
      </c>
      <c r="F522" t="s">
        <v>837</v>
      </c>
      <c r="G522" s="40">
        <v>46160</v>
      </c>
      <c r="H522" t="s">
        <v>552</v>
      </c>
      <c r="I522" s="13" t="s">
        <v>19</v>
      </c>
      <c r="J522">
        <f t="shared" si="8"/>
        <v>100</v>
      </c>
    </row>
    <row r="523" spans="1:10" ht="15" hidden="1">
      <c r="A523" s="20">
        <v>46160</v>
      </c>
      <c r="B523" t="s">
        <v>553</v>
      </c>
      <c r="C523" t="s">
        <v>162</v>
      </c>
      <c r="D523" t="s">
        <v>176</v>
      </c>
      <c r="E523" t="s">
        <v>467</v>
      </c>
      <c r="F523" t="s">
        <v>837</v>
      </c>
      <c r="G523" s="40">
        <v>46160</v>
      </c>
      <c r="H523" t="s">
        <v>552</v>
      </c>
      <c r="I523" s="13" t="s">
        <v>19</v>
      </c>
      <c r="J523">
        <f t="shared" si="8"/>
        <v>100</v>
      </c>
    </row>
    <row r="524" spans="1:10" ht="15" hidden="1">
      <c r="A524" s="20">
        <v>46160</v>
      </c>
      <c r="B524" t="s">
        <v>768</v>
      </c>
      <c r="C524" t="s">
        <v>162</v>
      </c>
      <c r="D524" t="s">
        <v>166</v>
      </c>
      <c r="E524" t="s">
        <v>467</v>
      </c>
      <c r="F524" t="s">
        <v>837</v>
      </c>
      <c r="G524" s="40">
        <v>46160</v>
      </c>
      <c r="H524" t="s">
        <v>552</v>
      </c>
      <c r="I524" s="13" t="s">
        <v>19</v>
      </c>
      <c r="J524">
        <f t="shared" si="8"/>
        <v>100</v>
      </c>
    </row>
    <row r="525" spans="1:10" ht="15" hidden="1">
      <c r="A525" s="20">
        <v>46160</v>
      </c>
      <c r="B525" t="s">
        <v>840</v>
      </c>
      <c r="C525" t="s">
        <v>162</v>
      </c>
      <c r="D525" t="s">
        <v>163</v>
      </c>
      <c r="E525" t="s">
        <v>467</v>
      </c>
      <c r="F525" t="s">
        <v>837</v>
      </c>
      <c r="G525" s="40">
        <v>46160</v>
      </c>
      <c r="H525" t="s">
        <v>552</v>
      </c>
      <c r="I525" s="13" t="s">
        <v>19</v>
      </c>
      <c r="J525">
        <f t="shared" ref="J525:J597" si="10">IF(I525="Completed",100,IF(I525="Ongoing",50,IF(I525="For Review",75,IF(I525="Delayed",30,0))))</f>
        <v>100</v>
      </c>
    </row>
    <row r="526" spans="1:10" ht="15" hidden="1">
      <c r="A526" s="6">
        <v>46160</v>
      </c>
      <c r="B526" t="s">
        <v>186</v>
      </c>
      <c r="C526" t="s">
        <v>162</v>
      </c>
      <c r="D526" t="s">
        <v>166</v>
      </c>
      <c r="E526" t="s">
        <v>467</v>
      </c>
      <c r="F526" t="s">
        <v>837</v>
      </c>
      <c r="G526" s="40">
        <v>46160</v>
      </c>
      <c r="H526" t="s">
        <v>552</v>
      </c>
      <c r="I526" s="13" t="s">
        <v>19</v>
      </c>
      <c r="J526">
        <f t="shared" si="10"/>
        <v>100</v>
      </c>
    </row>
    <row r="527" spans="1:10" ht="15" hidden="1">
      <c r="A527" s="6">
        <v>46160</v>
      </c>
      <c r="B527" t="s">
        <v>424</v>
      </c>
      <c r="C527" t="s">
        <v>162</v>
      </c>
      <c r="D527" t="s">
        <v>176</v>
      </c>
      <c r="E527" t="s">
        <v>467</v>
      </c>
      <c r="F527" t="s">
        <v>837</v>
      </c>
      <c r="G527" s="40">
        <v>46160</v>
      </c>
      <c r="H527" t="s">
        <v>552</v>
      </c>
      <c r="I527" s="13" t="s">
        <v>19</v>
      </c>
      <c r="J527">
        <f t="shared" si="10"/>
        <v>100</v>
      </c>
    </row>
    <row r="528" spans="1:10" hidden="1">
      <c r="A528" s="6">
        <v>46160</v>
      </c>
      <c r="B528" t="s">
        <v>170</v>
      </c>
      <c r="C528" t="s">
        <v>171</v>
      </c>
      <c r="D528" t="s">
        <v>15</v>
      </c>
      <c r="E528" t="s">
        <v>362</v>
      </c>
      <c r="F528" t="s">
        <v>841</v>
      </c>
      <c r="G528" s="6">
        <v>46160</v>
      </c>
      <c r="H528" t="s">
        <v>18</v>
      </c>
      <c r="I528" s="13" t="s">
        <v>19</v>
      </c>
      <c r="J528">
        <f t="shared" ref="J528" si="11">IF(I528="Completed",100,IF(I528="Ongoing",50,IF(I528="For Review",75,IF(I528="Delayed",30,0))))</f>
        <v>100</v>
      </c>
    </row>
    <row r="529" spans="1:10" hidden="1">
      <c r="A529" s="6">
        <v>46160</v>
      </c>
      <c r="B529" t="s">
        <v>170</v>
      </c>
      <c r="C529" t="s">
        <v>171</v>
      </c>
      <c r="D529" t="s">
        <v>15</v>
      </c>
      <c r="E529" t="s">
        <v>362</v>
      </c>
      <c r="F529" t="s">
        <v>842</v>
      </c>
      <c r="G529" s="6">
        <v>46160</v>
      </c>
      <c r="H529" t="s">
        <v>18</v>
      </c>
      <c r="I529" s="13" t="s">
        <v>19</v>
      </c>
      <c r="J529">
        <f t="shared" si="10"/>
        <v>100</v>
      </c>
    </row>
    <row r="530" spans="1:10" ht="15" hidden="1">
      <c r="A530" s="6">
        <v>46160</v>
      </c>
      <c r="B530" t="s">
        <v>290</v>
      </c>
      <c r="C530" t="s">
        <v>162</v>
      </c>
      <c r="D530" t="s">
        <v>176</v>
      </c>
      <c r="E530" t="s">
        <v>775</v>
      </c>
      <c r="F530" t="s">
        <v>843</v>
      </c>
      <c r="G530" s="40">
        <v>46160</v>
      </c>
      <c r="H530" t="s">
        <v>766</v>
      </c>
      <c r="I530" s="13" t="s">
        <v>19</v>
      </c>
      <c r="J530">
        <f t="shared" si="10"/>
        <v>100</v>
      </c>
    </row>
    <row r="531" spans="1:10" ht="15" hidden="1">
      <c r="A531" s="6">
        <v>46160</v>
      </c>
      <c r="B531" t="s">
        <v>290</v>
      </c>
      <c r="C531" t="s">
        <v>162</v>
      </c>
      <c r="D531" t="s">
        <v>176</v>
      </c>
      <c r="E531" t="s">
        <v>467</v>
      </c>
      <c r="F531" t="s">
        <v>844</v>
      </c>
      <c r="G531" s="40">
        <v>46160</v>
      </c>
      <c r="H531" t="s">
        <v>766</v>
      </c>
      <c r="I531" s="13" t="s">
        <v>19</v>
      </c>
      <c r="J531">
        <f t="shared" si="10"/>
        <v>100</v>
      </c>
    </row>
    <row r="532" spans="1:10" hidden="1">
      <c r="A532" s="6">
        <v>46160</v>
      </c>
      <c r="B532" t="s">
        <v>170</v>
      </c>
      <c r="C532" t="s">
        <v>171</v>
      </c>
      <c r="D532" t="s">
        <v>15</v>
      </c>
      <c r="E532" t="s">
        <v>362</v>
      </c>
      <c r="F532" t="s">
        <v>845</v>
      </c>
      <c r="G532" s="6">
        <v>46160</v>
      </c>
      <c r="H532" t="s">
        <v>18</v>
      </c>
      <c r="I532" s="13" t="s">
        <v>19</v>
      </c>
      <c r="J532">
        <f t="shared" si="10"/>
        <v>100</v>
      </c>
    </row>
    <row r="533" spans="1:10" hidden="1">
      <c r="A533" s="6">
        <v>46160</v>
      </c>
      <c r="B533" t="s">
        <v>170</v>
      </c>
      <c r="C533" t="s">
        <v>171</v>
      </c>
      <c r="D533" t="s">
        <v>15</v>
      </c>
      <c r="E533" t="s">
        <v>237</v>
      </c>
      <c r="F533" t="s">
        <v>282</v>
      </c>
      <c r="G533" s="6">
        <v>46160</v>
      </c>
      <c r="H533" t="s">
        <v>18</v>
      </c>
      <c r="I533" s="13" t="s">
        <v>19</v>
      </c>
      <c r="J533">
        <f t="shared" si="10"/>
        <v>100</v>
      </c>
    </row>
    <row r="534" spans="1:10" hidden="1">
      <c r="A534" s="6">
        <v>46160</v>
      </c>
      <c r="B534" t="s">
        <v>242</v>
      </c>
      <c r="C534" t="s">
        <v>339</v>
      </c>
      <c r="D534" t="s">
        <v>340</v>
      </c>
      <c r="E534" t="s">
        <v>503</v>
      </c>
      <c r="F534" t="s">
        <v>846</v>
      </c>
      <c r="G534" s="6">
        <v>46160</v>
      </c>
      <c r="H534" t="s">
        <v>18</v>
      </c>
      <c r="I534" s="13" t="s">
        <v>19</v>
      </c>
      <c r="J534">
        <f t="shared" si="10"/>
        <v>100</v>
      </c>
    </row>
    <row r="535" spans="1:10" hidden="1">
      <c r="A535" s="6">
        <v>46160</v>
      </c>
      <c r="B535" t="s">
        <v>170</v>
      </c>
      <c r="C535" t="s">
        <v>171</v>
      </c>
      <c r="D535" t="s">
        <v>15</v>
      </c>
      <c r="E535" t="s">
        <v>237</v>
      </c>
      <c r="F535" t="s">
        <v>282</v>
      </c>
      <c r="G535" s="6">
        <v>46160</v>
      </c>
      <c r="H535" t="s">
        <v>18</v>
      </c>
      <c r="I535" s="13" t="s">
        <v>19</v>
      </c>
      <c r="J535">
        <f t="shared" si="10"/>
        <v>100</v>
      </c>
    </row>
    <row r="536" spans="1:10" hidden="1">
      <c r="A536" s="6">
        <v>46160</v>
      </c>
      <c r="B536" t="s">
        <v>178</v>
      </c>
      <c r="C536" t="s">
        <v>162</v>
      </c>
      <c r="D536" t="s">
        <v>179</v>
      </c>
      <c r="E536" t="s">
        <v>467</v>
      </c>
      <c r="F536" t="s">
        <v>847</v>
      </c>
      <c r="G536" s="6">
        <v>46161</v>
      </c>
      <c r="H536" t="s">
        <v>18</v>
      </c>
      <c r="I536" s="13" t="s">
        <v>19</v>
      </c>
      <c r="J536">
        <f t="shared" si="10"/>
        <v>100</v>
      </c>
    </row>
    <row r="537" spans="1:10">
      <c r="A537" s="6">
        <v>46160</v>
      </c>
      <c r="B537" t="s">
        <v>222</v>
      </c>
      <c r="C537" t="s">
        <v>162</v>
      </c>
      <c r="D537" t="s">
        <v>179</v>
      </c>
      <c r="E537" t="s">
        <v>467</v>
      </c>
      <c r="F537" t="s">
        <v>847</v>
      </c>
      <c r="G537" s="6">
        <v>46161</v>
      </c>
      <c r="H537" t="s">
        <v>18</v>
      </c>
      <c r="I537" t="s">
        <v>848</v>
      </c>
      <c r="J537">
        <f t="shared" si="10"/>
        <v>0</v>
      </c>
    </row>
    <row r="538" spans="1:10" hidden="1">
      <c r="A538" s="6">
        <v>46160</v>
      </c>
      <c r="B538" t="s">
        <v>283</v>
      </c>
      <c r="C538" t="s">
        <v>162</v>
      </c>
      <c r="D538" t="s">
        <v>176</v>
      </c>
      <c r="E538" t="s">
        <v>467</v>
      </c>
      <c r="F538" t="s">
        <v>789</v>
      </c>
      <c r="G538" s="6">
        <v>46161</v>
      </c>
      <c r="H538" t="s">
        <v>57</v>
      </c>
      <c r="I538" s="13" t="s">
        <v>19</v>
      </c>
      <c r="J538">
        <f t="shared" si="10"/>
        <v>100</v>
      </c>
    </row>
    <row r="539" spans="1:10" hidden="1">
      <c r="A539" s="6">
        <v>46160</v>
      </c>
      <c r="B539" t="s">
        <v>283</v>
      </c>
      <c r="C539" t="s">
        <v>162</v>
      </c>
      <c r="D539" t="s">
        <v>176</v>
      </c>
      <c r="E539" t="s">
        <v>478</v>
      </c>
      <c r="F539" t="s">
        <v>849</v>
      </c>
      <c r="G539" s="6">
        <v>46161</v>
      </c>
      <c r="H539" t="s">
        <v>18</v>
      </c>
      <c r="I539" s="13" t="s">
        <v>19</v>
      </c>
      <c r="J539">
        <f t="shared" si="10"/>
        <v>100</v>
      </c>
    </row>
    <row r="540" spans="1:10" hidden="1">
      <c r="A540" s="6">
        <v>46160</v>
      </c>
      <c r="B540" t="s">
        <v>234</v>
      </c>
      <c r="C540" t="s">
        <v>162</v>
      </c>
      <c r="D540" t="s">
        <v>176</v>
      </c>
      <c r="E540" t="s">
        <v>478</v>
      </c>
      <c r="F540" t="s">
        <v>850</v>
      </c>
      <c r="G540" s="6">
        <v>46160</v>
      </c>
      <c r="H540" t="s">
        <v>18</v>
      </c>
      <c r="I540" s="13" t="s">
        <v>19</v>
      </c>
      <c r="J540">
        <f t="shared" si="10"/>
        <v>100</v>
      </c>
    </row>
    <row r="541" spans="1:10" hidden="1">
      <c r="A541" s="6">
        <v>46160</v>
      </c>
      <c r="B541" t="s">
        <v>234</v>
      </c>
      <c r="C541" t="s">
        <v>162</v>
      </c>
      <c r="D541" t="s">
        <v>176</v>
      </c>
      <c r="E541" t="s">
        <v>467</v>
      </c>
      <c r="F541" t="s">
        <v>851</v>
      </c>
      <c r="G541" s="6">
        <v>46160</v>
      </c>
      <c r="H541" t="s">
        <v>18</v>
      </c>
      <c r="I541" s="13" t="s">
        <v>19</v>
      </c>
      <c r="J541">
        <f t="shared" si="10"/>
        <v>100</v>
      </c>
    </row>
    <row r="542" spans="1:10" hidden="1">
      <c r="A542" s="6">
        <v>46161</v>
      </c>
      <c r="B542" t="s">
        <v>234</v>
      </c>
      <c r="C542" t="s">
        <v>162</v>
      </c>
      <c r="D542" t="s">
        <v>176</v>
      </c>
      <c r="E542" t="s">
        <v>467</v>
      </c>
      <c r="F542" t="s">
        <v>852</v>
      </c>
      <c r="G542" s="6">
        <v>46161</v>
      </c>
      <c r="H542" t="s">
        <v>18</v>
      </c>
      <c r="I542" s="13" t="s">
        <v>539</v>
      </c>
      <c r="J542">
        <f t="shared" si="10"/>
        <v>100</v>
      </c>
    </row>
    <row r="543" spans="1:10">
      <c r="A543" s="6">
        <v>46161</v>
      </c>
      <c r="B543" t="s">
        <v>389</v>
      </c>
      <c r="C543" t="s">
        <v>853</v>
      </c>
      <c r="D543" t="s">
        <v>15</v>
      </c>
      <c r="E543" t="s">
        <v>82</v>
      </c>
      <c r="F543" t="s">
        <v>854</v>
      </c>
      <c r="G543" s="6">
        <v>46161</v>
      </c>
      <c r="H543" t="s">
        <v>57</v>
      </c>
      <c r="I543" t="s">
        <v>51</v>
      </c>
      <c r="J543">
        <f t="shared" si="10"/>
        <v>50</v>
      </c>
    </row>
    <row r="544" spans="1:10" ht="15" hidden="1">
      <c r="A544" s="20">
        <v>46161</v>
      </c>
      <c r="B544" s="7" t="s">
        <v>389</v>
      </c>
      <c r="C544" s="7" t="s">
        <v>855</v>
      </c>
      <c r="D544" s="7" t="s">
        <v>15</v>
      </c>
      <c r="E544" s="7" t="s">
        <v>82</v>
      </c>
      <c r="F544" t="s">
        <v>856</v>
      </c>
      <c r="G544" s="6">
        <v>46161</v>
      </c>
      <c r="H544" t="s">
        <v>57</v>
      </c>
      <c r="I544" s="13" t="s">
        <v>19</v>
      </c>
      <c r="J544">
        <f t="shared" si="10"/>
        <v>100</v>
      </c>
    </row>
    <row r="545" spans="1:11" hidden="1">
      <c r="A545" s="6">
        <v>46161</v>
      </c>
      <c r="B545" t="s">
        <v>343</v>
      </c>
      <c r="C545" t="s">
        <v>39</v>
      </c>
      <c r="D545" t="s">
        <v>15</v>
      </c>
      <c r="E545" t="s">
        <v>40</v>
      </c>
      <c r="F545" t="s">
        <v>591</v>
      </c>
      <c r="G545" s="6">
        <v>46161</v>
      </c>
      <c r="H545" t="s">
        <v>541</v>
      </c>
      <c r="I545" s="13" t="s">
        <v>19</v>
      </c>
      <c r="J545">
        <f t="shared" si="10"/>
        <v>100</v>
      </c>
      <c r="K545" t="s">
        <v>544</v>
      </c>
    </row>
    <row r="546" spans="1:11" hidden="1">
      <c r="A546" s="6">
        <v>46161</v>
      </c>
      <c r="B546" t="s">
        <v>768</v>
      </c>
      <c r="C546" t="s">
        <v>162</v>
      </c>
      <c r="D546" t="s">
        <v>166</v>
      </c>
      <c r="E546" t="s">
        <v>467</v>
      </c>
      <c r="F546" t="s">
        <v>852</v>
      </c>
      <c r="G546" s="6">
        <v>46161</v>
      </c>
      <c r="H546" t="s">
        <v>18</v>
      </c>
      <c r="I546" t="s">
        <v>19</v>
      </c>
      <c r="J546">
        <f t="shared" si="10"/>
        <v>100</v>
      </c>
    </row>
    <row r="547" spans="1:11">
      <c r="A547" s="6">
        <v>46161</v>
      </c>
      <c r="B547" t="s">
        <v>615</v>
      </c>
      <c r="C547" t="s">
        <v>327</v>
      </c>
      <c r="D547" t="s">
        <v>176</v>
      </c>
      <c r="E547" t="s">
        <v>857</v>
      </c>
      <c r="G547" s="6">
        <v>46161</v>
      </c>
      <c r="H547" t="s">
        <v>18</v>
      </c>
      <c r="I547" t="s">
        <v>51</v>
      </c>
      <c r="J547">
        <f t="shared" si="10"/>
        <v>50</v>
      </c>
    </row>
    <row r="548" spans="1:11" hidden="1">
      <c r="A548" s="6">
        <v>46161</v>
      </c>
      <c r="B548" t="s">
        <v>615</v>
      </c>
      <c r="C548" t="s">
        <v>327</v>
      </c>
      <c r="D548" t="s">
        <v>176</v>
      </c>
      <c r="E548" t="s">
        <v>743</v>
      </c>
      <c r="F548" t="s">
        <v>858</v>
      </c>
      <c r="G548" s="6">
        <v>46161</v>
      </c>
      <c r="H548" t="s">
        <v>766</v>
      </c>
      <c r="I548" s="13" t="s">
        <v>19</v>
      </c>
      <c r="J548">
        <f t="shared" si="10"/>
        <v>100</v>
      </c>
    </row>
    <row r="549" spans="1:11">
      <c r="A549" s="6">
        <v>46161</v>
      </c>
      <c r="B549" t="s">
        <v>26</v>
      </c>
      <c r="C549" t="s">
        <v>23</v>
      </c>
      <c r="D549" t="s">
        <v>15</v>
      </c>
      <c r="E549" t="s">
        <v>501</v>
      </c>
      <c r="F549" t="s">
        <v>859</v>
      </c>
      <c r="G549" s="6">
        <v>46171</v>
      </c>
      <c r="H549" t="s">
        <v>18</v>
      </c>
      <c r="I549" t="s">
        <v>51</v>
      </c>
      <c r="J549">
        <f t="shared" si="10"/>
        <v>50</v>
      </c>
    </row>
    <row r="550" spans="1:11" hidden="1">
      <c r="A550" s="6">
        <v>46161</v>
      </c>
      <c r="B550" t="s">
        <v>397</v>
      </c>
      <c r="C550" t="s">
        <v>162</v>
      </c>
      <c r="D550" t="s">
        <v>176</v>
      </c>
      <c r="E550" t="s">
        <v>467</v>
      </c>
      <c r="F550" t="s">
        <v>860</v>
      </c>
      <c r="G550" s="6">
        <v>46161</v>
      </c>
      <c r="H550" t="s">
        <v>520</v>
      </c>
      <c r="I550" s="13" t="s">
        <v>19</v>
      </c>
      <c r="J550">
        <f t="shared" si="10"/>
        <v>100</v>
      </c>
    </row>
    <row r="551" spans="1:11" hidden="1">
      <c r="A551" s="6">
        <v>46161</v>
      </c>
      <c r="B551" t="s">
        <v>615</v>
      </c>
      <c r="C551" t="s">
        <v>327</v>
      </c>
      <c r="D551" t="s">
        <v>176</v>
      </c>
      <c r="E551" t="s">
        <v>861</v>
      </c>
      <c r="G551" s="6">
        <v>46161</v>
      </c>
      <c r="H551" t="s">
        <v>18</v>
      </c>
      <c r="I551" s="13" t="s">
        <v>19</v>
      </c>
      <c r="J551">
        <f t="shared" si="10"/>
        <v>100</v>
      </c>
    </row>
    <row r="552" spans="1:11" hidden="1">
      <c r="A552" s="6">
        <v>46162</v>
      </c>
      <c r="B552" t="s">
        <v>343</v>
      </c>
      <c r="C552" t="s">
        <v>39</v>
      </c>
      <c r="D552" t="s">
        <v>15</v>
      </c>
      <c r="E552" t="s">
        <v>40</v>
      </c>
      <c r="F552" t="s">
        <v>591</v>
      </c>
      <c r="G552" s="6">
        <v>46162</v>
      </c>
      <c r="H552" t="s">
        <v>541</v>
      </c>
      <c r="I552" s="13" t="s">
        <v>19</v>
      </c>
      <c r="J552">
        <f t="shared" si="10"/>
        <v>100</v>
      </c>
      <c r="K552" t="s">
        <v>544</v>
      </c>
    </row>
    <row r="553" spans="1:11" hidden="1">
      <c r="A553" s="6">
        <v>46162</v>
      </c>
      <c r="B553" t="s">
        <v>170</v>
      </c>
      <c r="C553" t="s">
        <v>171</v>
      </c>
      <c r="D553" t="s">
        <v>15</v>
      </c>
      <c r="E553" t="s">
        <v>362</v>
      </c>
      <c r="F553" t="s">
        <v>862</v>
      </c>
      <c r="G553" s="6">
        <v>46162</v>
      </c>
      <c r="H553" t="s">
        <v>18</v>
      </c>
      <c r="I553" s="13" t="s">
        <v>19</v>
      </c>
      <c r="J553">
        <f t="shared" si="10"/>
        <v>100</v>
      </c>
    </row>
    <row r="554" spans="1:11" hidden="1">
      <c r="A554" s="6">
        <v>46162</v>
      </c>
      <c r="B554" t="s">
        <v>346</v>
      </c>
      <c r="C554" t="s">
        <v>157</v>
      </c>
      <c r="D554" t="s">
        <v>15</v>
      </c>
      <c r="E554" t="s">
        <v>82</v>
      </c>
      <c r="F554" t="s">
        <v>863</v>
      </c>
      <c r="G554" s="6">
        <v>46174</v>
      </c>
      <c r="H554" t="s">
        <v>18</v>
      </c>
      <c r="I554" t="s">
        <v>19</v>
      </c>
      <c r="J554">
        <f t="shared" si="10"/>
        <v>100</v>
      </c>
    </row>
    <row r="555" spans="1:11" hidden="1">
      <c r="A555" s="6">
        <v>46162</v>
      </c>
      <c r="B555" t="s">
        <v>170</v>
      </c>
      <c r="C555" t="s">
        <v>171</v>
      </c>
      <c r="D555" t="s">
        <v>15</v>
      </c>
      <c r="E555" t="s">
        <v>237</v>
      </c>
      <c r="F555" t="s">
        <v>864</v>
      </c>
      <c r="G555" s="6">
        <v>46162</v>
      </c>
      <c r="H555" t="s">
        <v>18</v>
      </c>
      <c r="I555" s="13" t="s">
        <v>19</v>
      </c>
      <c r="J555">
        <f t="shared" si="10"/>
        <v>100</v>
      </c>
    </row>
    <row r="556" spans="1:11" hidden="1">
      <c r="A556" s="6">
        <v>46162</v>
      </c>
      <c r="B556" t="s">
        <v>768</v>
      </c>
      <c r="C556" t="s">
        <v>162</v>
      </c>
      <c r="D556" t="s">
        <v>166</v>
      </c>
      <c r="E556" t="s">
        <v>467</v>
      </c>
      <c r="F556" t="s">
        <v>865</v>
      </c>
      <c r="G556" s="6">
        <v>46163</v>
      </c>
      <c r="H556" t="s">
        <v>18</v>
      </c>
      <c r="I556" s="13" t="s">
        <v>19</v>
      </c>
      <c r="J556">
        <f t="shared" si="10"/>
        <v>100</v>
      </c>
    </row>
    <row r="557" spans="1:11" hidden="1">
      <c r="A557" s="6">
        <v>46162</v>
      </c>
      <c r="B557" t="s">
        <v>397</v>
      </c>
      <c r="C557" t="s">
        <v>162</v>
      </c>
      <c r="D557" t="s">
        <v>176</v>
      </c>
      <c r="E557" t="s">
        <v>467</v>
      </c>
      <c r="F557" t="s">
        <v>866</v>
      </c>
      <c r="G557" s="6">
        <v>46162</v>
      </c>
      <c r="H557" t="s">
        <v>520</v>
      </c>
      <c r="I557" s="13" t="s">
        <v>19</v>
      </c>
      <c r="J557">
        <f t="shared" si="10"/>
        <v>100</v>
      </c>
    </row>
    <row r="558" spans="1:11" hidden="1">
      <c r="A558" s="6">
        <v>46162</v>
      </c>
      <c r="B558" t="s">
        <v>208</v>
      </c>
      <c r="C558" t="s">
        <v>162</v>
      </c>
      <c r="D558" t="s">
        <v>176</v>
      </c>
      <c r="E558" t="s">
        <v>467</v>
      </c>
      <c r="F558" t="s">
        <v>867</v>
      </c>
      <c r="G558" s="6">
        <v>46162</v>
      </c>
      <c r="H558" t="s">
        <v>18</v>
      </c>
      <c r="I558" s="13" t="s">
        <v>19</v>
      </c>
      <c r="J558">
        <f t="shared" si="10"/>
        <v>100</v>
      </c>
    </row>
    <row r="559" spans="1:11" hidden="1">
      <c r="A559" s="6" t="s">
        <v>868</v>
      </c>
      <c r="B559" t="s">
        <v>283</v>
      </c>
      <c r="C559" t="s">
        <v>162</v>
      </c>
      <c r="D559" t="s">
        <v>176</v>
      </c>
      <c r="E559" t="s">
        <v>467</v>
      </c>
      <c r="F559" t="s">
        <v>869</v>
      </c>
      <c r="G559" s="6">
        <v>46163</v>
      </c>
      <c r="H559" t="s">
        <v>18</v>
      </c>
      <c r="I559" s="13" t="s">
        <v>19</v>
      </c>
      <c r="J559">
        <f t="shared" si="10"/>
        <v>100</v>
      </c>
    </row>
    <row r="560" spans="1:11" hidden="1">
      <c r="A560" s="6">
        <v>46163</v>
      </c>
      <c r="B560" t="s">
        <v>170</v>
      </c>
      <c r="C560" t="s">
        <v>171</v>
      </c>
      <c r="D560" t="s">
        <v>15</v>
      </c>
      <c r="E560" t="s">
        <v>362</v>
      </c>
      <c r="F560" t="s">
        <v>862</v>
      </c>
      <c r="G560" s="6">
        <v>46163</v>
      </c>
      <c r="H560" t="s">
        <v>18</v>
      </c>
      <c r="I560" s="13" t="s">
        <v>19</v>
      </c>
      <c r="J560">
        <f t="shared" si="10"/>
        <v>100</v>
      </c>
    </row>
    <row r="561" spans="1:11" hidden="1">
      <c r="A561" s="6">
        <v>46163</v>
      </c>
      <c r="B561" t="s">
        <v>343</v>
      </c>
      <c r="C561" t="s">
        <v>39</v>
      </c>
      <c r="D561" t="s">
        <v>15</v>
      </c>
      <c r="E561" t="s">
        <v>40</v>
      </c>
      <c r="F561" t="s">
        <v>591</v>
      </c>
      <c r="G561" s="6">
        <v>46163</v>
      </c>
      <c r="H561" t="s">
        <v>18</v>
      </c>
      <c r="I561" s="13" t="s">
        <v>19</v>
      </c>
      <c r="J561">
        <f t="shared" si="10"/>
        <v>100</v>
      </c>
      <c r="K561" t="s">
        <v>544</v>
      </c>
    </row>
    <row r="562" spans="1:11" hidden="1">
      <c r="A562" s="6">
        <v>46163</v>
      </c>
      <c r="B562" t="s">
        <v>343</v>
      </c>
      <c r="C562" t="s">
        <v>39</v>
      </c>
      <c r="D562" t="s">
        <v>15</v>
      </c>
      <c r="E562" t="s">
        <v>449</v>
      </c>
      <c r="F562" t="s">
        <v>500</v>
      </c>
      <c r="G562" s="6">
        <v>46163</v>
      </c>
      <c r="H562" t="s">
        <v>18</v>
      </c>
      <c r="I562" s="13" t="s">
        <v>19</v>
      </c>
      <c r="J562">
        <f t="shared" si="10"/>
        <v>100</v>
      </c>
    </row>
    <row r="563" spans="1:11" hidden="1">
      <c r="A563" s="6">
        <v>46163</v>
      </c>
      <c r="B563" t="s">
        <v>234</v>
      </c>
      <c r="C563" t="s">
        <v>162</v>
      </c>
      <c r="D563" t="s">
        <v>176</v>
      </c>
      <c r="E563" t="s">
        <v>467</v>
      </c>
      <c r="F563" t="s">
        <v>870</v>
      </c>
      <c r="G563" s="6">
        <v>46163</v>
      </c>
      <c r="H563" t="s">
        <v>18</v>
      </c>
      <c r="I563" s="13" t="s">
        <v>19</v>
      </c>
      <c r="J563">
        <f t="shared" si="10"/>
        <v>100</v>
      </c>
    </row>
    <row r="564" spans="1:11" hidden="1">
      <c r="A564" s="6">
        <v>46163</v>
      </c>
      <c r="B564" t="s">
        <v>170</v>
      </c>
      <c r="C564" t="s">
        <v>171</v>
      </c>
      <c r="D564" t="s">
        <v>15</v>
      </c>
      <c r="E564" t="s">
        <v>501</v>
      </c>
      <c r="F564" t="s">
        <v>871</v>
      </c>
      <c r="G564" s="6">
        <v>46167</v>
      </c>
      <c r="H564" t="s">
        <v>57</v>
      </c>
      <c r="I564" t="s">
        <v>19</v>
      </c>
      <c r="J564">
        <f t="shared" si="10"/>
        <v>100</v>
      </c>
    </row>
    <row r="565" spans="1:11" hidden="1">
      <c r="A565" s="6">
        <v>46163</v>
      </c>
      <c r="B565" t="s">
        <v>170</v>
      </c>
      <c r="C565" t="s">
        <v>171</v>
      </c>
      <c r="D565" t="s">
        <v>15</v>
      </c>
      <c r="E565" t="s">
        <v>237</v>
      </c>
      <c r="F565" t="s">
        <v>282</v>
      </c>
      <c r="G565" s="6">
        <v>46163</v>
      </c>
      <c r="H565" t="s">
        <v>18</v>
      </c>
      <c r="I565" s="13" t="s">
        <v>19</v>
      </c>
      <c r="J565">
        <f t="shared" si="10"/>
        <v>100</v>
      </c>
    </row>
    <row r="566" spans="1:11" hidden="1">
      <c r="A566" s="6">
        <v>46163</v>
      </c>
      <c r="B566" t="s">
        <v>250</v>
      </c>
      <c r="C566" t="s">
        <v>162</v>
      </c>
      <c r="D566" t="s">
        <v>166</v>
      </c>
      <c r="E566" t="s">
        <v>467</v>
      </c>
      <c r="F566" t="s">
        <v>872</v>
      </c>
      <c r="G566" s="6">
        <v>46163</v>
      </c>
      <c r="H566" t="s">
        <v>57</v>
      </c>
      <c r="I566" s="13" t="s">
        <v>19</v>
      </c>
      <c r="J566">
        <f t="shared" si="10"/>
        <v>100</v>
      </c>
    </row>
    <row r="567" spans="1:11" hidden="1">
      <c r="A567" s="6">
        <v>46163</v>
      </c>
      <c r="B567" t="s">
        <v>208</v>
      </c>
      <c r="C567" t="s">
        <v>162</v>
      </c>
      <c r="D567" t="s">
        <v>176</v>
      </c>
      <c r="E567" t="s">
        <v>467</v>
      </c>
      <c r="F567" t="s">
        <v>867</v>
      </c>
      <c r="G567" s="6">
        <v>46163</v>
      </c>
      <c r="H567" t="s">
        <v>18</v>
      </c>
      <c r="I567" s="13" t="s">
        <v>19</v>
      </c>
      <c r="J567">
        <f t="shared" si="10"/>
        <v>100</v>
      </c>
    </row>
    <row r="568" spans="1:11" hidden="1">
      <c r="A568" s="6">
        <v>46164</v>
      </c>
      <c r="B568" t="s">
        <v>234</v>
      </c>
      <c r="C568" t="s">
        <v>162</v>
      </c>
      <c r="D568" t="s">
        <v>176</v>
      </c>
      <c r="E568" t="s">
        <v>226</v>
      </c>
      <c r="F568" t="s">
        <v>873</v>
      </c>
      <c r="G568" s="6">
        <v>46164</v>
      </c>
      <c r="H568" t="s">
        <v>18</v>
      </c>
      <c r="I568" s="13" t="s">
        <v>19</v>
      </c>
      <c r="J568">
        <f t="shared" si="10"/>
        <v>100</v>
      </c>
    </row>
    <row r="569" spans="1:11" hidden="1">
      <c r="A569" s="6">
        <v>46164</v>
      </c>
      <c r="B569" t="s">
        <v>208</v>
      </c>
      <c r="C569" t="s">
        <v>162</v>
      </c>
      <c r="D569" t="s">
        <v>176</v>
      </c>
      <c r="E569" t="s">
        <v>226</v>
      </c>
      <c r="F569" t="s">
        <v>874</v>
      </c>
      <c r="G569" s="6">
        <v>46164</v>
      </c>
      <c r="H569" t="s">
        <v>18</v>
      </c>
      <c r="I569" s="13" t="s">
        <v>19</v>
      </c>
      <c r="J569">
        <f t="shared" si="10"/>
        <v>100</v>
      </c>
    </row>
    <row r="570" spans="1:11" hidden="1">
      <c r="A570" s="6">
        <v>46164</v>
      </c>
      <c r="B570" t="s">
        <v>170</v>
      </c>
      <c r="C570" t="s">
        <v>171</v>
      </c>
      <c r="D570" t="s">
        <v>15</v>
      </c>
      <c r="E570" t="s">
        <v>754</v>
      </c>
      <c r="F570" t="s">
        <v>875</v>
      </c>
      <c r="G570" s="6">
        <v>46168</v>
      </c>
      <c r="H570" t="s">
        <v>57</v>
      </c>
      <c r="I570" s="13" t="s">
        <v>19</v>
      </c>
      <c r="J570">
        <f t="shared" si="10"/>
        <v>100</v>
      </c>
    </row>
    <row r="571" spans="1:11" hidden="1">
      <c r="A571" s="6">
        <v>46164</v>
      </c>
      <c r="B571" t="s">
        <v>170</v>
      </c>
      <c r="C571" t="s">
        <v>171</v>
      </c>
      <c r="D571" t="s">
        <v>15</v>
      </c>
      <c r="E571" t="s">
        <v>362</v>
      </c>
      <c r="F571" t="s">
        <v>862</v>
      </c>
      <c r="G571" s="6">
        <v>46164</v>
      </c>
      <c r="H571" t="s">
        <v>18</v>
      </c>
      <c r="I571" s="13" t="s">
        <v>19</v>
      </c>
      <c r="J571">
        <f t="shared" si="10"/>
        <v>100</v>
      </c>
    </row>
    <row r="572" spans="1:11">
      <c r="A572" s="6">
        <v>46164</v>
      </c>
      <c r="B572" t="s">
        <v>716</v>
      </c>
      <c r="C572" t="s">
        <v>136</v>
      </c>
      <c r="D572" t="s">
        <v>15</v>
      </c>
      <c r="E572" t="s">
        <v>32</v>
      </c>
      <c r="F572" t="s">
        <v>876</v>
      </c>
      <c r="G572" s="6"/>
      <c r="H572" t="s">
        <v>57</v>
      </c>
      <c r="I572" t="s">
        <v>51</v>
      </c>
      <c r="J572">
        <f t="shared" si="10"/>
        <v>50</v>
      </c>
    </row>
    <row r="573" spans="1:11" hidden="1">
      <c r="A573" s="6">
        <v>46164</v>
      </c>
      <c r="B573" t="s">
        <v>716</v>
      </c>
      <c r="C573" t="s">
        <v>136</v>
      </c>
      <c r="D573" t="s">
        <v>15</v>
      </c>
      <c r="E573" t="s">
        <v>877</v>
      </c>
      <c r="F573" t="s">
        <v>878</v>
      </c>
      <c r="G573" s="6">
        <v>46164</v>
      </c>
      <c r="H573" t="s">
        <v>153</v>
      </c>
      <c r="I573" s="13" t="s">
        <v>19</v>
      </c>
      <c r="J573">
        <f t="shared" si="10"/>
        <v>100</v>
      </c>
    </row>
    <row r="574" spans="1:11" hidden="1">
      <c r="A574" s="6">
        <v>46164</v>
      </c>
      <c r="B574" t="s">
        <v>170</v>
      </c>
      <c r="C574" t="s">
        <v>171</v>
      </c>
      <c r="D574" t="s">
        <v>15</v>
      </c>
      <c r="E574" t="s">
        <v>362</v>
      </c>
      <c r="F574" t="s">
        <v>879</v>
      </c>
      <c r="G574" s="6">
        <v>46164</v>
      </c>
      <c r="H574" t="s">
        <v>18</v>
      </c>
      <c r="I574" s="13" t="s">
        <v>19</v>
      </c>
      <c r="J574">
        <f t="shared" si="10"/>
        <v>100</v>
      </c>
    </row>
    <row r="575" spans="1:11" hidden="1">
      <c r="A575" s="6">
        <v>46164</v>
      </c>
      <c r="B575" t="s">
        <v>615</v>
      </c>
      <c r="C575" t="s">
        <v>327</v>
      </c>
      <c r="D575" t="s">
        <v>176</v>
      </c>
      <c r="E575" t="s">
        <v>877</v>
      </c>
      <c r="F575" t="s">
        <v>880</v>
      </c>
      <c r="G575" s="6">
        <v>46164</v>
      </c>
      <c r="H575" t="s">
        <v>57</v>
      </c>
      <c r="I575" s="13" t="s">
        <v>19</v>
      </c>
      <c r="J575">
        <f t="shared" si="10"/>
        <v>100</v>
      </c>
    </row>
    <row r="576" spans="1:11" hidden="1">
      <c r="A576" s="6">
        <v>46164</v>
      </c>
      <c r="B576" t="s">
        <v>615</v>
      </c>
      <c r="C576" t="s">
        <v>327</v>
      </c>
      <c r="D576" t="s">
        <v>176</v>
      </c>
      <c r="E576" t="s">
        <v>877</v>
      </c>
      <c r="F576" t="s">
        <v>881</v>
      </c>
      <c r="G576" s="6">
        <v>46164</v>
      </c>
      <c r="H576" t="s">
        <v>57</v>
      </c>
      <c r="I576" s="13" t="s">
        <v>19</v>
      </c>
      <c r="J576">
        <f t="shared" si="10"/>
        <v>100</v>
      </c>
    </row>
    <row r="577" spans="1:10" hidden="1">
      <c r="A577" s="6">
        <v>46164</v>
      </c>
      <c r="B577" t="s">
        <v>615</v>
      </c>
      <c r="C577" t="s">
        <v>327</v>
      </c>
      <c r="D577" t="s">
        <v>176</v>
      </c>
      <c r="E577" t="s">
        <v>808</v>
      </c>
      <c r="G577" s="6">
        <v>46164</v>
      </c>
      <c r="H577" t="s">
        <v>57</v>
      </c>
      <c r="I577" s="13" t="s">
        <v>19</v>
      </c>
      <c r="J577">
        <f t="shared" si="10"/>
        <v>100</v>
      </c>
    </row>
    <row r="578" spans="1:10">
      <c r="A578" s="6">
        <v>46164</v>
      </c>
      <c r="B578" t="s">
        <v>615</v>
      </c>
      <c r="C578" t="s">
        <v>327</v>
      </c>
      <c r="D578" t="s">
        <v>176</v>
      </c>
      <c r="E578" t="s">
        <v>882</v>
      </c>
      <c r="G578" s="6">
        <v>46164</v>
      </c>
      <c r="H578" t="s">
        <v>57</v>
      </c>
      <c r="I578" t="s">
        <v>51</v>
      </c>
      <c r="J578">
        <f t="shared" si="10"/>
        <v>50</v>
      </c>
    </row>
    <row r="579" spans="1:10" hidden="1">
      <c r="A579" s="6">
        <v>46164</v>
      </c>
      <c r="B579" t="s">
        <v>615</v>
      </c>
      <c r="C579" t="s">
        <v>327</v>
      </c>
      <c r="D579" t="s">
        <v>176</v>
      </c>
      <c r="E579" t="s">
        <v>883</v>
      </c>
      <c r="F579" t="s">
        <v>884</v>
      </c>
      <c r="G579" s="6">
        <v>46164</v>
      </c>
      <c r="H579" t="s">
        <v>18</v>
      </c>
      <c r="I579" s="13" t="s">
        <v>19</v>
      </c>
      <c r="J579">
        <f t="shared" si="10"/>
        <v>100</v>
      </c>
    </row>
    <row r="580" spans="1:10" hidden="1">
      <c r="A580" s="6">
        <v>46164</v>
      </c>
      <c r="B580" t="s">
        <v>885</v>
      </c>
      <c r="C580" t="s">
        <v>162</v>
      </c>
      <c r="D580" t="s">
        <v>176</v>
      </c>
      <c r="E580" t="s">
        <v>467</v>
      </c>
      <c r="F580" t="s">
        <v>886</v>
      </c>
      <c r="G580" s="6">
        <v>46164</v>
      </c>
      <c r="H580" t="s">
        <v>520</v>
      </c>
      <c r="I580" s="13" t="s">
        <v>19</v>
      </c>
      <c r="J580">
        <f t="shared" si="10"/>
        <v>100</v>
      </c>
    </row>
    <row r="581" spans="1:10" hidden="1">
      <c r="A581" s="6">
        <v>46164</v>
      </c>
      <c r="B581" t="s">
        <v>283</v>
      </c>
      <c r="C581" t="s">
        <v>162</v>
      </c>
      <c r="D581" t="s">
        <v>176</v>
      </c>
      <c r="E581" t="s">
        <v>887</v>
      </c>
      <c r="F581" t="s">
        <v>888</v>
      </c>
      <c r="G581" s="6">
        <v>46164</v>
      </c>
      <c r="H581" t="s">
        <v>520</v>
      </c>
      <c r="I581" s="13" t="s">
        <v>19</v>
      </c>
      <c r="J581">
        <f t="shared" si="10"/>
        <v>100</v>
      </c>
    </row>
    <row r="582" spans="1:10" hidden="1">
      <c r="A582" s="6">
        <v>46164</v>
      </c>
      <c r="B582" t="s">
        <v>260</v>
      </c>
      <c r="C582" t="s">
        <v>733</v>
      </c>
      <c r="D582" t="s">
        <v>179</v>
      </c>
      <c r="E582" t="s">
        <v>887</v>
      </c>
      <c r="F582" t="s">
        <v>889</v>
      </c>
      <c r="G582" s="6">
        <v>46164</v>
      </c>
      <c r="H582" t="s">
        <v>18</v>
      </c>
      <c r="I582" s="13" t="s">
        <v>19</v>
      </c>
      <c r="J582">
        <f>IF(I582="Completed",100,IF(I582="Ongoing",50,IF(I582="For Review",75,IF(I582="Delayed",30,0))))</f>
        <v>100</v>
      </c>
    </row>
    <row r="583" spans="1:10" hidden="1">
      <c r="A583" s="6">
        <v>46164</v>
      </c>
      <c r="B583" t="s">
        <v>454</v>
      </c>
      <c r="C583" t="s">
        <v>162</v>
      </c>
      <c r="D583" t="s">
        <v>163</v>
      </c>
      <c r="E583" t="s">
        <v>581</v>
      </c>
      <c r="F583" t="s">
        <v>455</v>
      </c>
      <c r="G583" s="6">
        <v>46164</v>
      </c>
      <c r="H583" t="s">
        <v>18</v>
      </c>
      <c r="I583" s="13" t="s">
        <v>19</v>
      </c>
      <c r="J583">
        <f>IF(I583="Completed",100,IF(I583="Ongoing",50,IF(I583="For Review",75,IF(I583="Delayed",30,0))))</f>
        <v>100</v>
      </c>
    </row>
    <row r="584" spans="1:10" hidden="1">
      <c r="A584" s="6">
        <v>46165</v>
      </c>
      <c r="B584" t="s">
        <v>234</v>
      </c>
      <c r="C584" t="s">
        <v>162</v>
      </c>
      <c r="D584" t="s">
        <v>176</v>
      </c>
      <c r="E584" t="s">
        <v>226</v>
      </c>
      <c r="F584" t="s">
        <v>890</v>
      </c>
      <c r="G584" s="6">
        <v>46165</v>
      </c>
      <c r="H584" t="s">
        <v>18</v>
      </c>
      <c r="I584" s="13" t="s">
        <v>19</v>
      </c>
      <c r="J584">
        <f t="shared" si="10"/>
        <v>100</v>
      </c>
    </row>
    <row r="585" spans="1:10" hidden="1">
      <c r="A585" s="6">
        <v>46165</v>
      </c>
      <c r="B585" t="s">
        <v>454</v>
      </c>
      <c r="C585" t="s">
        <v>162</v>
      </c>
      <c r="D585" t="s">
        <v>163</v>
      </c>
      <c r="E585" t="s">
        <v>226</v>
      </c>
      <c r="F585" t="s">
        <v>891</v>
      </c>
      <c r="G585" s="6">
        <v>46165</v>
      </c>
      <c r="H585" t="s">
        <v>18</v>
      </c>
      <c r="I585" s="13" t="s">
        <v>19</v>
      </c>
      <c r="J585">
        <f>IF(I585="Completed",100,IF(I585="Ongoing",50,IF(I585="For Review",75,IF(I585="Delayed",30,0))))</f>
        <v>100</v>
      </c>
    </row>
    <row r="586" spans="1:10" ht="15" hidden="1">
      <c r="A586" s="20">
        <v>46165</v>
      </c>
      <c r="B586" s="7" t="s">
        <v>290</v>
      </c>
      <c r="C586" s="7" t="s">
        <v>162</v>
      </c>
      <c r="D586" s="7" t="s">
        <v>176</v>
      </c>
      <c r="E586" s="7" t="s">
        <v>892</v>
      </c>
      <c r="F586" s="7" t="s">
        <v>893</v>
      </c>
      <c r="G586" s="6">
        <v>46165</v>
      </c>
      <c r="H586" s="7" t="s">
        <v>766</v>
      </c>
      <c r="I586" s="41" t="s">
        <v>19</v>
      </c>
      <c r="J586">
        <f t="shared" si="10"/>
        <v>100</v>
      </c>
    </row>
    <row r="587" spans="1:10" hidden="1">
      <c r="A587" s="6">
        <v>46167</v>
      </c>
      <c r="B587" t="s">
        <v>165</v>
      </c>
      <c r="C587" t="s">
        <v>162</v>
      </c>
      <c r="D587" t="s">
        <v>166</v>
      </c>
      <c r="E587" t="s">
        <v>894</v>
      </c>
      <c r="F587" t="s">
        <v>895</v>
      </c>
      <c r="G587" s="6">
        <v>46167</v>
      </c>
      <c r="H587" t="s">
        <v>552</v>
      </c>
      <c r="I587" s="13" t="s">
        <v>539</v>
      </c>
      <c r="J587">
        <f t="shared" si="10"/>
        <v>100</v>
      </c>
    </row>
    <row r="588" spans="1:10" hidden="1">
      <c r="A588" s="6">
        <v>46167</v>
      </c>
      <c r="B588" t="s">
        <v>165</v>
      </c>
      <c r="C588" t="s">
        <v>162</v>
      </c>
      <c r="D588" t="s">
        <v>166</v>
      </c>
      <c r="E588" t="s">
        <v>896</v>
      </c>
      <c r="F588" t="s">
        <v>897</v>
      </c>
      <c r="G588" s="6">
        <v>46167</v>
      </c>
      <c r="H588" t="s">
        <v>552</v>
      </c>
      <c r="I588" s="13" t="s">
        <v>19</v>
      </c>
      <c r="J588">
        <f t="shared" si="10"/>
        <v>100</v>
      </c>
    </row>
    <row r="589" spans="1:10" hidden="1">
      <c r="A589" s="6">
        <v>46167</v>
      </c>
      <c r="B589" t="s">
        <v>838</v>
      </c>
      <c r="C589" t="s">
        <v>162</v>
      </c>
      <c r="D589" t="s">
        <v>176</v>
      </c>
      <c r="E589" t="s">
        <v>226</v>
      </c>
      <c r="F589" t="s">
        <v>898</v>
      </c>
      <c r="G589" s="6">
        <v>46167</v>
      </c>
      <c r="H589" t="s">
        <v>552</v>
      </c>
      <c r="I589" s="13" t="s">
        <v>19</v>
      </c>
      <c r="J589">
        <f t="shared" si="10"/>
        <v>100</v>
      </c>
    </row>
    <row r="590" spans="1:10" hidden="1">
      <c r="A590" s="6">
        <v>46167</v>
      </c>
      <c r="B590" t="s">
        <v>250</v>
      </c>
      <c r="C590" t="s">
        <v>162</v>
      </c>
      <c r="D590" t="s">
        <v>166</v>
      </c>
      <c r="E590" t="s">
        <v>894</v>
      </c>
      <c r="F590" t="s">
        <v>899</v>
      </c>
      <c r="G590" s="6">
        <v>46167</v>
      </c>
      <c r="H590" t="s">
        <v>57</v>
      </c>
      <c r="I590" s="13" t="s">
        <v>19</v>
      </c>
      <c r="J590">
        <f t="shared" si="10"/>
        <v>100</v>
      </c>
    </row>
    <row r="591" spans="1:10" hidden="1">
      <c r="A591" s="6">
        <v>46167</v>
      </c>
      <c r="B591" t="s">
        <v>389</v>
      </c>
      <c r="C591" t="s">
        <v>271</v>
      </c>
      <c r="D591" t="s">
        <v>15</v>
      </c>
      <c r="E591" t="s">
        <v>272</v>
      </c>
      <c r="F591" t="s">
        <v>900</v>
      </c>
      <c r="G591" s="6">
        <v>46167</v>
      </c>
      <c r="H591" t="s">
        <v>57</v>
      </c>
      <c r="I591" s="13" t="s">
        <v>19</v>
      </c>
      <c r="J591">
        <f t="shared" si="10"/>
        <v>100</v>
      </c>
    </row>
    <row r="592" spans="1:10" hidden="1">
      <c r="A592" s="6">
        <v>46167</v>
      </c>
      <c r="B592" t="s">
        <v>234</v>
      </c>
      <c r="C592" t="s">
        <v>162</v>
      </c>
      <c r="D592" t="s">
        <v>176</v>
      </c>
      <c r="E592" t="s">
        <v>901</v>
      </c>
      <c r="F592" t="s">
        <v>902</v>
      </c>
      <c r="G592" s="6">
        <v>46167</v>
      </c>
      <c r="H592" t="s">
        <v>18</v>
      </c>
      <c r="I592" s="13" t="s">
        <v>19</v>
      </c>
      <c r="J592">
        <f t="shared" si="10"/>
        <v>100</v>
      </c>
    </row>
    <row r="593" spans="1:11" hidden="1">
      <c r="A593" s="6">
        <v>46167</v>
      </c>
      <c r="B593" t="s">
        <v>234</v>
      </c>
      <c r="C593" t="s">
        <v>162</v>
      </c>
      <c r="D593" t="s">
        <v>176</v>
      </c>
      <c r="E593" t="s">
        <v>595</v>
      </c>
      <c r="F593" t="s">
        <v>903</v>
      </c>
      <c r="G593" s="6">
        <v>46167</v>
      </c>
      <c r="H593" t="s">
        <v>18</v>
      </c>
      <c r="I593" s="13" t="s">
        <v>19</v>
      </c>
      <c r="J593">
        <f t="shared" si="10"/>
        <v>100</v>
      </c>
    </row>
    <row r="594" spans="1:11" hidden="1">
      <c r="A594" s="6">
        <v>46167</v>
      </c>
      <c r="B594" t="s">
        <v>222</v>
      </c>
      <c r="C594" t="s">
        <v>162</v>
      </c>
      <c r="D594" t="s">
        <v>179</v>
      </c>
      <c r="E594" t="s">
        <v>378</v>
      </c>
      <c r="F594" t="s">
        <v>904</v>
      </c>
      <c r="G594" s="6">
        <v>46078</v>
      </c>
      <c r="H594" t="s">
        <v>905</v>
      </c>
      <c r="I594" s="13" t="s">
        <v>19</v>
      </c>
      <c r="J594">
        <f t="shared" si="10"/>
        <v>100</v>
      </c>
    </row>
    <row r="595" spans="1:11" hidden="1">
      <c r="A595" s="6">
        <v>46167</v>
      </c>
      <c r="B595" t="s">
        <v>222</v>
      </c>
      <c r="C595" t="s">
        <v>162</v>
      </c>
      <c r="D595" t="s">
        <v>179</v>
      </c>
      <c r="E595" t="s">
        <v>247</v>
      </c>
      <c r="F595" t="s">
        <v>906</v>
      </c>
      <c r="G595" s="6">
        <v>46078</v>
      </c>
      <c r="I595" s="13" t="s">
        <v>19</v>
      </c>
      <c r="J595">
        <f t="shared" si="10"/>
        <v>100</v>
      </c>
    </row>
    <row r="596" spans="1:11" hidden="1">
      <c r="A596" s="6">
        <v>46167</v>
      </c>
      <c r="B596" t="s">
        <v>242</v>
      </c>
      <c r="C596" t="s">
        <v>339</v>
      </c>
      <c r="D596" t="s">
        <v>340</v>
      </c>
      <c r="E596" t="s">
        <v>503</v>
      </c>
      <c r="F596" t="s">
        <v>907</v>
      </c>
      <c r="G596" s="6">
        <v>46172</v>
      </c>
      <c r="H596" t="s">
        <v>541</v>
      </c>
      <c r="I596" s="13" t="s">
        <v>19</v>
      </c>
      <c r="J596">
        <f t="shared" si="10"/>
        <v>100</v>
      </c>
    </row>
    <row r="597" spans="1:11" hidden="1">
      <c r="A597" s="6">
        <v>46167</v>
      </c>
      <c r="B597" t="s">
        <v>242</v>
      </c>
      <c r="C597" t="s">
        <v>339</v>
      </c>
      <c r="D597" t="s">
        <v>340</v>
      </c>
      <c r="E597" t="s">
        <v>503</v>
      </c>
      <c r="F597" t="s">
        <v>908</v>
      </c>
      <c r="G597" s="6">
        <v>46167</v>
      </c>
      <c r="H597" t="s">
        <v>18</v>
      </c>
      <c r="I597" s="13" t="s">
        <v>19</v>
      </c>
      <c r="J597">
        <f t="shared" si="10"/>
        <v>100</v>
      </c>
    </row>
    <row r="598" spans="1:11" hidden="1">
      <c r="A598" s="6">
        <v>46167</v>
      </c>
      <c r="B598" t="s">
        <v>343</v>
      </c>
      <c r="C598" t="s">
        <v>39</v>
      </c>
      <c r="D598" t="s">
        <v>15</v>
      </c>
      <c r="E598" t="s">
        <v>40</v>
      </c>
      <c r="F598" t="s">
        <v>591</v>
      </c>
      <c r="G598" s="6">
        <v>46167</v>
      </c>
      <c r="H598" t="s">
        <v>18</v>
      </c>
      <c r="I598" s="13" t="s">
        <v>19</v>
      </c>
      <c r="J598">
        <v>100</v>
      </c>
      <c r="K598" t="s">
        <v>544</v>
      </c>
    </row>
    <row r="599" spans="1:11" hidden="1">
      <c r="A599" s="6">
        <v>46167</v>
      </c>
      <c r="B599" t="s">
        <v>323</v>
      </c>
      <c r="C599" t="s">
        <v>23</v>
      </c>
      <c r="D599" t="s">
        <v>15</v>
      </c>
      <c r="E599" t="s">
        <v>909</v>
      </c>
      <c r="F599" t="s">
        <v>910</v>
      </c>
      <c r="G599" s="6">
        <v>46167</v>
      </c>
      <c r="H599" t="s">
        <v>18</v>
      </c>
      <c r="I599" s="13" t="s">
        <v>19</v>
      </c>
      <c r="J599">
        <f t="shared" ref="J599:J671" si="12">IF(I599="Completed",100,IF(I599="Ongoing",50,IF(I599="For Review",75,IF(I599="Delayed",30,0))))</f>
        <v>100</v>
      </c>
    </row>
    <row r="600" spans="1:11" hidden="1">
      <c r="A600" s="6">
        <v>46167</v>
      </c>
      <c r="B600" t="s">
        <v>323</v>
      </c>
      <c r="C600" t="s">
        <v>23</v>
      </c>
      <c r="D600" t="s">
        <v>15</v>
      </c>
      <c r="E600" t="s">
        <v>911</v>
      </c>
      <c r="F600" t="s">
        <v>912</v>
      </c>
      <c r="G600" s="6">
        <v>46172</v>
      </c>
      <c r="H600" t="s">
        <v>18</v>
      </c>
      <c r="I600" s="42" t="s">
        <v>19</v>
      </c>
      <c r="J600">
        <f t="shared" si="12"/>
        <v>100</v>
      </c>
    </row>
    <row r="601" spans="1:11" ht="15" hidden="1">
      <c r="A601" s="6">
        <v>46167</v>
      </c>
      <c r="B601" s="7" t="s">
        <v>290</v>
      </c>
      <c r="C601" t="s">
        <v>176</v>
      </c>
      <c r="D601" t="s">
        <v>162</v>
      </c>
      <c r="E601" t="s">
        <v>226</v>
      </c>
      <c r="F601" t="s">
        <v>913</v>
      </c>
      <c r="G601" s="6">
        <v>46167</v>
      </c>
      <c r="H601" t="s">
        <v>766</v>
      </c>
      <c r="I601" s="13" t="s">
        <v>19</v>
      </c>
      <c r="J601">
        <f t="shared" si="12"/>
        <v>100</v>
      </c>
    </row>
    <row r="602" spans="1:11" ht="15" hidden="1">
      <c r="A602" s="6">
        <v>46167</v>
      </c>
      <c r="B602" s="7" t="s">
        <v>290</v>
      </c>
      <c r="C602" t="s">
        <v>176</v>
      </c>
      <c r="D602" t="s">
        <v>162</v>
      </c>
      <c r="E602" t="s">
        <v>914</v>
      </c>
      <c r="F602" t="s">
        <v>915</v>
      </c>
      <c r="G602" s="6">
        <v>46167</v>
      </c>
      <c r="H602" t="s">
        <v>18</v>
      </c>
      <c r="I602" s="13" t="s">
        <v>19</v>
      </c>
      <c r="J602">
        <f t="shared" si="12"/>
        <v>100</v>
      </c>
    </row>
    <row r="603" spans="1:11" hidden="1">
      <c r="A603" s="6">
        <v>46167</v>
      </c>
      <c r="B603" t="s">
        <v>170</v>
      </c>
      <c r="C603" t="s">
        <v>171</v>
      </c>
      <c r="D603" t="s">
        <v>758</v>
      </c>
      <c r="E603" t="s">
        <v>501</v>
      </c>
      <c r="F603" t="s">
        <v>916</v>
      </c>
      <c r="G603" s="6">
        <v>46167</v>
      </c>
      <c r="H603" t="s">
        <v>57</v>
      </c>
      <c r="I603" s="13" t="s">
        <v>19</v>
      </c>
      <c r="J603">
        <v>100</v>
      </c>
    </row>
    <row r="604" spans="1:11" hidden="1">
      <c r="A604" s="6">
        <v>46167</v>
      </c>
      <c r="B604" t="s">
        <v>349</v>
      </c>
      <c r="C604" t="s">
        <v>23</v>
      </c>
      <c r="D604" t="s">
        <v>15</v>
      </c>
      <c r="E604" t="s">
        <v>917</v>
      </c>
      <c r="F604" t="s">
        <v>918</v>
      </c>
      <c r="G604" s="6">
        <v>46167</v>
      </c>
      <c r="H604" t="s">
        <v>57</v>
      </c>
      <c r="I604" s="13" t="s">
        <v>19</v>
      </c>
      <c r="J604">
        <f t="shared" si="12"/>
        <v>100</v>
      </c>
    </row>
    <row r="605" spans="1:11" ht="15" hidden="1">
      <c r="A605" s="6">
        <v>46167</v>
      </c>
      <c r="B605" s="7" t="s">
        <v>290</v>
      </c>
      <c r="C605" t="s">
        <v>176</v>
      </c>
      <c r="D605" t="s">
        <v>162</v>
      </c>
      <c r="E605" t="s">
        <v>919</v>
      </c>
      <c r="F605" t="s">
        <v>920</v>
      </c>
      <c r="G605" s="6">
        <v>46167</v>
      </c>
      <c r="H605" t="s">
        <v>18</v>
      </c>
      <c r="I605" s="13" t="s">
        <v>19</v>
      </c>
      <c r="J605">
        <f t="shared" si="12"/>
        <v>100</v>
      </c>
    </row>
    <row r="606" spans="1:11" hidden="1">
      <c r="A606" s="6">
        <v>46167</v>
      </c>
      <c r="B606" t="s">
        <v>349</v>
      </c>
      <c r="C606" t="s">
        <v>23</v>
      </c>
      <c r="D606" t="s">
        <v>15</v>
      </c>
      <c r="E606" t="s">
        <v>350</v>
      </c>
      <c r="F606" t="s">
        <v>921</v>
      </c>
      <c r="G606" s="6">
        <v>46167</v>
      </c>
      <c r="H606" t="s">
        <v>57</v>
      </c>
      <c r="I606" s="13" t="s">
        <v>19</v>
      </c>
      <c r="J606">
        <f t="shared" si="12"/>
        <v>100</v>
      </c>
    </row>
    <row r="607" spans="1:11">
      <c r="A607" s="6">
        <v>46167</v>
      </c>
      <c r="B607" t="s">
        <v>260</v>
      </c>
      <c r="C607" t="s">
        <v>179</v>
      </c>
      <c r="D607" t="s">
        <v>733</v>
      </c>
      <c r="E607" t="s">
        <v>247</v>
      </c>
      <c r="F607" t="s">
        <v>922</v>
      </c>
      <c r="G607" s="6">
        <v>46167</v>
      </c>
      <c r="H607" t="s">
        <v>18</v>
      </c>
      <c r="I607" t="s">
        <v>550</v>
      </c>
      <c r="J607">
        <f t="shared" si="12"/>
        <v>50</v>
      </c>
    </row>
    <row r="608" spans="1:11" hidden="1">
      <c r="A608" s="6">
        <v>46167</v>
      </c>
      <c r="B608" t="s">
        <v>283</v>
      </c>
      <c r="C608" t="s">
        <v>162</v>
      </c>
      <c r="D608" t="s">
        <v>176</v>
      </c>
      <c r="E608" t="s">
        <v>467</v>
      </c>
      <c r="F608" t="s">
        <v>923</v>
      </c>
      <c r="G608" s="6">
        <v>46167</v>
      </c>
      <c r="H608" t="s">
        <v>520</v>
      </c>
      <c r="I608" s="13" t="s">
        <v>19</v>
      </c>
      <c r="J608">
        <f t="shared" si="12"/>
        <v>100</v>
      </c>
    </row>
    <row r="609" spans="1:13" hidden="1">
      <c r="A609" s="6">
        <v>46167</v>
      </c>
      <c r="B609" t="s">
        <v>283</v>
      </c>
      <c r="C609" t="s">
        <v>162</v>
      </c>
      <c r="D609" t="s">
        <v>176</v>
      </c>
      <c r="E609" t="s">
        <v>924</v>
      </c>
      <c r="F609" t="s">
        <v>925</v>
      </c>
      <c r="G609" s="6">
        <v>46167</v>
      </c>
      <c r="H609" t="s">
        <v>18</v>
      </c>
      <c r="I609" s="13" t="s">
        <v>19</v>
      </c>
      <c r="J609">
        <f t="shared" si="12"/>
        <v>100</v>
      </c>
    </row>
    <row r="610" spans="1:13">
      <c r="A610" s="6">
        <v>46168</v>
      </c>
      <c r="B610" t="s">
        <v>346</v>
      </c>
      <c r="C610" t="s">
        <v>157</v>
      </c>
      <c r="D610" t="s">
        <v>15</v>
      </c>
      <c r="E610" t="s">
        <v>409</v>
      </c>
      <c r="F610" t="s">
        <v>926</v>
      </c>
      <c r="G610" s="6">
        <v>46168</v>
      </c>
      <c r="H610" t="s">
        <v>18</v>
      </c>
      <c r="I610" t="s">
        <v>51</v>
      </c>
      <c r="J610">
        <f t="shared" si="12"/>
        <v>50</v>
      </c>
    </row>
    <row r="611" spans="1:13" hidden="1">
      <c r="A611" s="6">
        <v>46168</v>
      </c>
      <c r="B611" t="s">
        <v>838</v>
      </c>
      <c r="C611" t="s">
        <v>176</v>
      </c>
      <c r="D611" t="s">
        <v>162</v>
      </c>
      <c r="E611" t="s">
        <v>924</v>
      </c>
      <c r="F611" t="s">
        <v>925</v>
      </c>
      <c r="G611" s="6">
        <v>46168</v>
      </c>
      <c r="H611" t="s">
        <v>57</v>
      </c>
      <c r="I611" s="13" t="s">
        <v>19</v>
      </c>
      <c r="J611">
        <v>100</v>
      </c>
    </row>
    <row r="612" spans="1:13">
      <c r="A612" s="6">
        <v>46168</v>
      </c>
      <c r="B612" t="s">
        <v>389</v>
      </c>
      <c r="C612" t="s">
        <v>271</v>
      </c>
      <c r="D612" t="s">
        <v>15</v>
      </c>
      <c r="E612" t="s">
        <v>272</v>
      </c>
      <c r="F612" t="s">
        <v>900</v>
      </c>
      <c r="G612" s="6">
        <v>46168</v>
      </c>
      <c r="H612" t="s">
        <v>57</v>
      </c>
      <c r="I612" t="s">
        <v>51</v>
      </c>
      <c r="J612">
        <f t="shared" si="12"/>
        <v>50</v>
      </c>
    </row>
    <row r="613" spans="1:13" hidden="1">
      <c r="A613" s="6">
        <v>46168</v>
      </c>
      <c r="B613" t="s">
        <v>234</v>
      </c>
      <c r="C613" t="s">
        <v>162</v>
      </c>
      <c r="D613" t="s">
        <v>176</v>
      </c>
      <c r="E613" t="s">
        <v>219</v>
      </c>
      <c r="F613" t="s">
        <v>927</v>
      </c>
      <c r="G613" s="6">
        <v>46168</v>
      </c>
      <c r="H613" t="s">
        <v>18</v>
      </c>
      <c r="I613" s="13" t="s">
        <v>19</v>
      </c>
      <c r="J613">
        <f t="shared" si="12"/>
        <v>100</v>
      </c>
    </row>
    <row r="614" spans="1:13" hidden="1">
      <c r="A614" s="6">
        <v>46168</v>
      </c>
      <c r="B614" t="s">
        <v>838</v>
      </c>
      <c r="C614" t="s">
        <v>176</v>
      </c>
      <c r="D614" t="s">
        <v>162</v>
      </c>
      <c r="E614" t="s">
        <v>928</v>
      </c>
      <c r="F614" t="s">
        <v>929</v>
      </c>
      <c r="G614" s="6">
        <v>46168</v>
      </c>
      <c r="H614" t="s">
        <v>57</v>
      </c>
      <c r="I614" s="13" t="s">
        <v>19</v>
      </c>
      <c r="J614">
        <v>100</v>
      </c>
    </row>
    <row r="615" spans="1:13" hidden="1">
      <c r="A615" s="6">
        <v>46168</v>
      </c>
      <c r="B615" t="s">
        <v>343</v>
      </c>
      <c r="C615" t="s">
        <v>39</v>
      </c>
      <c r="D615" t="s">
        <v>15</v>
      </c>
      <c r="E615" t="s">
        <v>40</v>
      </c>
      <c r="F615" t="s">
        <v>591</v>
      </c>
      <c r="G615" s="6">
        <v>46168</v>
      </c>
      <c r="H615" t="s">
        <v>18</v>
      </c>
      <c r="I615" s="13" t="s">
        <v>19</v>
      </c>
      <c r="J615">
        <f t="shared" si="12"/>
        <v>100</v>
      </c>
      <c r="K615" t="s">
        <v>544</v>
      </c>
    </row>
    <row r="616" spans="1:13" hidden="1">
      <c r="A616" s="6">
        <v>46168</v>
      </c>
      <c r="B616" t="s">
        <v>242</v>
      </c>
      <c r="C616" t="s">
        <v>339</v>
      </c>
      <c r="D616" t="s">
        <v>340</v>
      </c>
      <c r="E616" t="s">
        <v>503</v>
      </c>
      <c r="F616" t="s">
        <v>930</v>
      </c>
      <c r="G616" s="6">
        <v>46168</v>
      </c>
      <c r="H616" t="s">
        <v>18</v>
      </c>
      <c r="I616" s="13" t="s">
        <v>19</v>
      </c>
      <c r="J616">
        <f t="shared" si="12"/>
        <v>100</v>
      </c>
    </row>
    <row r="617" spans="1:13" hidden="1">
      <c r="A617" s="6">
        <v>46168</v>
      </c>
      <c r="B617" t="s">
        <v>349</v>
      </c>
      <c r="C617" t="s">
        <v>23</v>
      </c>
      <c r="D617" t="s">
        <v>15</v>
      </c>
      <c r="E617" t="s">
        <v>754</v>
      </c>
      <c r="F617" t="s">
        <v>931</v>
      </c>
      <c r="G617" s="6">
        <v>46168</v>
      </c>
      <c r="H617" t="s">
        <v>57</v>
      </c>
      <c r="I617" s="13" t="s">
        <v>19</v>
      </c>
      <c r="J617">
        <f t="shared" si="12"/>
        <v>100</v>
      </c>
    </row>
    <row r="618" spans="1:13" ht="15" hidden="1">
      <c r="A618" s="6">
        <v>46168</v>
      </c>
      <c r="B618" s="7" t="s">
        <v>290</v>
      </c>
      <c r="C618" t="s">
        <v>162</v>
      </c>
      <c r="D618" t="s">
        <v>176</v>
      </c>
      <c r="E618" t="s">
        <v>932</v>
      </c>
      <c r="F618" t="s">
        <v>933</v>
      </c>
      <c r="G618" s="6">
        <v>46168</v>
      </c>
      <c r="H618" t="s">
        <v>18</v>
      </c>
      <c r="I618" s="13" t="s">
        <v>19</v>
      </c>
      <c r="J618">
        <f t="shared" si="12"/>
        <v>100</v>
      </c>
    </row>
    <row r="619" spans="1:13" hidden="1">
      <c r="A619" s="6">
        <v>46168</v>
      </c>
      <c r="B619" t="s">
        <v>170</v>
      </c>
      <c r="C619" t="s">
        <v>171</v>
      </c>
      <c r="D619" t="s">
        <v>758</v>
      </c>
      <c r="E619" t="s">
        <v>754</v>
      </c>
      <c r="F619" t="s">
        <v>934</v>
      </c>
      <c r="G619" s="6">
        <v>46170</v>
      </c>
      <c r="H619" t="s">
        <v>57</v>
      </c>
      <c r="I619" s="13" t="s">
        <v>19</v>
      </c>
      <c r="J619">
        <f t="shared" si="12"/>
        <v>100</v>
      </c>
    </row>
    <row r="620" spans="1:13" hidden="1">
      <c r="A620" s="6">
        <v>46168</v>
      </c>
      <c r="B620" t="s">
        <v>283</v>
      </c>
      <c r="C620" t="s">
        <v>162</v>
      </c>
      <c r="D620" t="s">
        <v>176</v>
      </c>
      <c r="E620" t="s">
        <v>935</v>
      </c>
      <c r="F620" t="s">
        <v>936</v>
      </c>
      <c r="G620" s="6">
        <v>46168</v>
      </c>
      <c r="H620" t="s">
        <v>18</v>
      </c>
      <c r="I620" s="13" t="s">
        <v>19</v>
      </c>
      <c r="J620">
        <f t="shared" si="12"/>
        <v>100</v>
      </c>
    </row>
    <row r="621" spans="1:13" hidden="1">
      <c r="A621" s="6">
        <v>46168</v>
      </c>
      <c r="B621" t="s">
        <v>283</v>
      </c>
      <c r="C621" t="s">
        <v>162</v>
      </c>
      <c r="D621" t="s">
        <v>176</v>
      </c>
      <c r="E621" t="s">
        <v>937</v>
      </c>
      <c r="F621" t="s">
        <v>938</v>
      </c>
      <c r="G621" s="6">
        <v>46168</v>
      </c>
      <c r="H621" t="s">
        <v>520</v>
      </c>
      <c r="I621" s="13" t="s">
        <v>19</v>
      </c>
      <c r="J621">
        <f t="shared" si="12"/>
        <v>100</v>
      </c>
    </row>
    <row r="622" spans="1:13" hidden="1">
      <c r="A622" s="6">
        <v>46168</v>
      </c>
      <c r="B622" t="s">
        <v>222</v>
      </c>
      <c r="C622" t="s">
        <v>162</v>
      </c>
      <c r="D622" t="s">
        <v>179</v>
      </c>
      <c r="E622" t="s">
        <v>937</v>
      </c>
      <c r="F622" t="s">
        <v>939</v>
      </c>
      <c r="G622" s="6">
        <v>46168</v>
      </c>
      <c r="H622" t="s">
        <v>541</v>
      </c>
      <c r="I622" s="13" t="s">
        <v>19</v>
      </c>
      <c r="J622">
        <f t="shared" si="12"/>
        <v>100</v>
      </c>
    </row>
    <row r="623" spans="1:13" hidden="1">
      <c r="A623" s="6">
        <v>46168</v>
      </c>
      <c r="B623" t="s">
        <v>222</v>
      </c>
      <c r="C623" t="s">
        <v>162</v>
      </c>
      <c r="D623" t="s">
        <v>179</v>
      </c>
      <c r="E623" t="s">
        <v>940</v>
      </c>
      <c r="F623" t="s">
        <v>941</v>
      </c>
      <c r="G623" s="6">
        <v>46168</v>
      </c>
      <c r="H623" t="s">
        <v>153</v>
      </c>
      <c r="I623" s="13" t="s">
        <v>19</v>
      </c>
      <c r="J623">
        <f t="shared" si="12"/>
        <v>100</v>
      </c>
      <c r="M623" s="11" t="s">
        <v>942</v>
      </c>
    </row>
    <row r="624" spans="1:13" hidden="1">
      <c r="A624" s="6">
        <v>46168</v>
      </c>
      <c r="B624" t="s">
        <v>222</v>
      </c>
      <c r="C624" t="s">
        <v>162</v>
      </c>
      <c r="D624" t="s">
        <v>179</v>
      </c>
      <c r="E624" t="s">
        <v>387</v>
      </c>
      <c r="F624" t="s">
        <v>943</v>
      </c>
      <c r="G624" s="6">
        <v>46168</v>
      </c>
      <c r="H624" t="s">
        <v>541</v>
      </c>
      <c r="I624" t="s">
        <v>19</v>
      </c>
      <c r="J624">
        <f t="shared" si="12"/>
        <v>100</v>
      </c>
    </row>
    <row r="625" spans="1:10" hidden="1">
      <c r="A625" s="6">
        <v>46168</v>
      </c>
      <c r="B625" t="s">
        <v>222</v>
      </c>
      <c r="C625" t="s">
        <v>162</v>
      </c>
      <c r="D625" t="s">
        <v>179</v>
      </c>
      <c r="E625" t="s">
        <v>944</v>
      </c>
      <c r="F625" t="s">
        <v>945</v>
      </c>
      <c r="G625" s="6">
        <v>46168</v>
      </c>
      <c r="H625" t="s">
        <v>552</v>
      </c>
      <c r="I625" s="13" t="s">
        <v>19</v>
      </c>
      <c r="J625">
        <f t="shared" si="12"/>
        <v>100</v>
      </c>
    </row>
    <row r="626" spans="1:10" hidden="1">
      <c r="A626" s="6">
        <v>46168</v>
      </c>
      <c r="B626" t="s">
        <v>250</v>
      </c>
      <c r="C626" t="s">
        <v>162</v>
      </c>
      <c r="D626" t="s">
        <v>166</v>
      </c>
      <c r="E626" t="s">
        <v>219</v>
      </c>
      <c r="F626" t="s">
        <v>946</v>
      </c>
      <c r="G626" s="6">
        <v>46168</v>
      </c>
      <c r="H626" t="s">
        <v>18</v>
      </c>
      <c r="I626" s="13" t="s">
        <v>19</v>
      </c>
      <c r="J626">
        <f t="shared" si="12"/>
        <v>100</v>
      </c>
    </row>
    <row r="627" spans="1:10" ht="15" hidden="1">
      <c r="A627" s="6">
        <v>46170</v>
      </c>
      <c r="B627" s="7" t="s">
        <v>389</v>
      </c>
      <c r="C627" s="7" t="s">
        <v>271</v>
      </c>
      <c r="D627" s="7" t="s">
        <v>15</v>
      </c>
      <c r="E627" s="7" t="s">
        <v>947</v>
      </c>
      <c r="F627" t="s">
        <v>948</v>
      </c>
      <c r="G627" s="6">
        <v>46170</v>
      </c>
      <c r="H627" t="s">
        <v>57</v>
      </c>
      <c r="I627" s="13" t="s">
        <v>19</v>
      </c>
      <c r="J627">
        <f t="shared" si="12"/>
        <v>100</v>
      </c>
    </row>
    <row r="628" spans="1:10" ht="15">
      <c r="A628" s="6">
        <v>46170</v>
      </c>
      <c r="B628" s="7" t="s">
        <v>389</v>
      </c>
      <c r="C628" s="7" t="s">
        <v>271</v>
      </c>
      <c r="D628" s="7" t="s">
        <v>15</v>
      </c>
      <c r="E628" s="7" t="s">
        <v>82</v>
      </c>
      <c r="F628" t="s">
        <v>949</v>
      </c>
      <c r="G628" s="6">
        <v>46170</v>
      </c>
      <c r="H628" t="s">
        <v>18</v>
      </c>
      <c r="I628" t="s">
        <v>51</v>
      </c>
      <c r="J628">
        <f t="shared" si="12"/>
        <v>50</v>
      </c>
    </row>
    <row r="629" spans="1:10" hidden="1">
      <c r="A629" s="6">
        <v>46170</v>
      </c>
      <c r="B629" t="s">
        <v>222</v>
      </c>
      <c r="C629" t="s">
        <v>162</v>
      </c>
      <c r="D629" t="s">
        <v>179</v>
      </c>
      <c r="E629" t="s">
        <v>387</v>
      </c>
      <c r="F629" t="s">
        <v>950</v>
      </c>
      <c r="G629" s="6">
        <v>46170</v>
      </c>
      <c r="H629" t="s">
        <v>541</v>
      </c>
      <c r="I629" t="s">
        <v>19</v>
      </c>
      <c r="J629">
        <f t="shared" si="12"/>
        <v>100</v>
      </c>
    </row>
    <row r="630" spans="1:10" hidden="1">
      <c r="A630" s="6">
        <v>46170</v>
      </c>
      <c r="B630" t="s">
        <v>222</v>
      </c>
      <c r="C630" t="s">
        <v>162</v>
      </c>
      <c r="D630" t="s">
        <v>179</v>
      </c>
      <c r="E630" t="s">
        <v>951</v>
      </c>
      <c r="F630" t="s">
        <v>952</v>
      </c>
      <c r="G630" s="6">
        <v>46170</v>
      </c>
      <c r="H630" t="s">
        <v>552</v>
      </c>
      <c r="I630" t="s">
        <v>19</v>
      </c>
      <c r="J630">
        <f t="shared" si="12"/>
        <v>100</v>
      </c>
    </row>
    <row r="631" spans="1:10" hidden="1">
      <c r="A631" s="6">
        <v>46170</v>
      </c>
      <c r="B631" t="s">
        <v>222</v>
      </c>
      <c r="C631" t="s">
        <v>162</v>
      </c>
      <c r="D631" t="s">
        <v>179</v>
      </c>
      <c r="E631" t="s">
        <v>953</v>
      </c>
      <c r="F631" t="s">
        <v>954</v>
      </c>
      <c r="G631" s="6">
        <v>46170</v>
      </c>
      <c r="H631" t="s">
        <v>552</v>
      </c>
      <c r="I631" t="s">
        <v>19</v>
      </c>
      <c r="J631">
        <f t="shared" si="12"/>
        <v>100</v>
      </c>
    </row>
    <row r="632" spans="1:10" ht="15" hidden="1">
      <c r="A632" s="6">
        <v>46170</v>
      </c>
      <c r="B632" s="7" t="s">
        <v>290</v>
      </c>
      <c r="C632" t="s">
        <v>162</v>
      </c>
      <c r="D632" t="s">
        <v>176</v>
      </c>
      <c r="E632" t="s">
        <v>955</v>
      </c>
      <c r="F632" t="s">
        <v>956</v>
      </c>
      <c r="G632" s="6">
        <v>46170</v>
      </c>
      <c r="H632" t="s">
        <v>18</v>
      </c>
      <c r="I632" s="13" t="s">
        <v>19</v>
      </c>
      <c r="J632">
        <f t="shared" si="12"/>
        <v>100</v>
      </c>
    </row>
    <row r="633" spans="1:10" ht="15" hidden="1">
      <c r="A633" s="6">
        <v>46170</v>
      </c>
      <c r="B633" s="7" t="s">
        <v>290</v>
      </c>
      <c r="C633" t="s">
        <v>162</v>
      </c>
      <c r="D633" t="s">
        <v>176</v>
      </c>
      <c r="E633" t="s">
        <v>957</v>
      </c>
      <c r="F633" t="s">
        <v>958</v>
      </c>
      <c r="G633" s="6">
        <v>46170</v>
      </c>
      <c r="H633" t="s">
        <v>18</v>
      </c>
      <c r="I633" s="13" t="s">
        <v>19</v>
      </c>
      <c r="J633">
        <f t="shared" si="12"/>
        <v>100</v>
      </c>
    </row>
    <row r="634" spans="1:10" hidden="1">
      <c r="A634" s="6">
        <v>46170</v>
      </c>
      <c r="B634" t="s">
        <v>234</v>
      </c>
      <c r="C634" t="s">
        <v>162</v>
      </c>
      <c r="D634" t="s">
        <v>176</v>
      </c>
      <c r="E634" t="s">
        <v>959</v>
      </c>
      <c r="F634" t="s">
        <v>960</v>
      </c>
      <c r="G634" s="6">
        <v>46170</v>
      </c>
      <c r="H634" t="s">
        <v>18</v>
      </c>
      <c r="I634" s="13" t="s">
        <v>19</v>
      </c>
      <c r="J634">
        <f t="shared" si="12"/>
        <v>100</v>
      </c>
    </row>
    <row r="635" spans="1:10" hidden="1">
      <c r="A635" s="6">
        <v>46170</v>
      </c>
      <c r="B635" t="s">
        <v>170</v>
      </c>
      <c r="C635" t="s">
        <v>171</v>
      </c>
      <c r="D635" t="s">
        <v>758</v>
      </c>
      <c r="E635" t="s">
        <v>754</v>
      </c>
      <c r="F635" t="s">
        <v>961</v>
      </c>
      <c r="G635" s="6">
        <v>46174</v>
      </c>
      <c r="H635" t="s">
        <v>57</v>
      </c>
      <c r="I635" s="13" t="s">
        <v>19</v>
      </c>
      <c r="J635">
        <f t="shared" si="12"/>
        <v>100</v>
      </c>
    </row>
    <row r="636" spans="1:10" hidden="1">
      <c r="A636" s="6">
        <v>46170</v>
      </c>
      <c r="B636" t="s">
        <v>165</v>
      </c>
      <c r="C636" t="s">
        <v>162</v>
      </c>
      <c r="D636" t="s">
        <v>166</v>
      </c>
      <c r="E636" t="s">
        <v>962</v>
      </c>
      <c r="F636" t="s">
        <v>963</v>
      </c>
      <c r="G636" s="6">
        <v>46170</v>
      </c>
      <c r="H636" t="s">
        <v>57</v>
      </c>
      <c r="I636" s="13" t="s">
        <v>19</v>
      </c>
      <c r="J636">
        <f t="shared" si="12"/>
        <v>100</v>
      </c>
    </row>
    <row r="637" spans="1:10" hidden="1">
      <c r="A637" s="6">
        <v>46170</v>
      </c>
      <c r="B637" t="s">
        <v>165</v>
      </c>
      <c r="C637" t="s">
        <v>162</v>
      </c>
      <c r="D637" t="s">
        <v>166</v>
      </c>
      <c r="E637" t="s">
        <v>219</v>
      </c>
      <c r="F637" t="s">
        <v>964</v>
      </c>
      <c r="G637" s="6">
        <v>46170</v>
      </c>
      <c r="H637" t="s">
        <v>552</v>
      </c>
      <c r="I637" s="13" t="s">
        <v>19</v>
      </c>
      <c r="J637">
        <f t="shared" si="12"/>
        <v>100</v>
      </c>
    </row>
    <row r="638" spans="1:10" hidden="1">
      <c r="A638" s="6">
        <v>46170</v>
      </c>
      <c r="B638" t="s">
        <v>283</v>
      </c>
      <c r="C638" t="s">
        <v>162</v>
      </c>
      <c r="D638" t="s">
        <v>176</v>
      </c>
      <c r="E638" t="s">
        <v>935</v>
      </c>
      <c r="F638" t="s">
        <v>965</v>
      </c>
      <c r="G638" s="6">
        <v>46170</v>
      </c>
      <c r="H638" t="s">
        <v>18</v>
      </c>
      <c r="I638" s="13" t="s">
        <v>19</v>
      </c>
      <c r="J638">
        <f t="shared" si="12"/>
        <v>100</v>
      </c>
    </row>
    <row r="639" spans="1:10" hidden="1">
      <c r="A639" s="6">
        <v>46171</v>
      </c>
      <c r="B639" t="s">
        <v>250</v>
      </c>
      <c r="C639" t="s">
        <v>162</v>
      </c>
      <c r="D639" t="s">
        <v>166</v>
      </c>
      <c r="E639" t="s">
        <v>219</v>
      </c>
      <c r="F639" t="s">
        <v>966</v>
      </c>
      <c r="G639" s="6">
        <v>46171</v>
      </c>
      <c r="H639" t="s">
        <v>18</v>
      </c>
      <c r="I639" s="13" t="s">
        <v>19</v>
      </c>
      <c r="J639">
        <f t="shared" si="12"/>
        <v>100</v>
      </c>
    </row>
    <row r="640" spans="1:10" hidden="1">
      <c r="A640" s="6">
        <v>46171</v>
      </c>
      <c r="B640" t="s">
        <v>165</v>
      </c>
      <c r="C640" t="s">
        <v>162</v>
      </c>
      <c r="D640" t="s">
        <v>166</v>
      </c>
      <c r="E640" t="s">
        <v>967</v>
      </c>
      <c r="F640" s="43" t="s">
        <v>968</v>
      </c>
      <c r="G640" s="6">
        <v>46171</v>
      </c>
      <c r="H640" t="s">
        <v>57</v>
      </c>
      <c r="I640" s="13" t="s">
        <v>19</v>
      </c>
      <c r="J640">
        <f t="shared" si="12"/>
        <v>100</v>
      </c>
    </row>
    <row r="641" spans="1:11" hidden="1">
      <c r="A641" s="6">
        <v>46171</v>
      </c>
      <c r="B641" t="s">
        <v>165</v>
      </c>
      <c r="C641" t="s">
        <v>162</v>
      </c>
      <c r="D641" t="s">
        <v>166</v>
      </c>
      <c r="E641" t="s">
        <v>969</v>
      </c>
      <c r="F641" t="s">
        <v>970</v>
      </c>
      <c r="G641" s="6">
        <v>46171</v>
      </c>
      <c r="H641" t="s">
        <v>57</v>
      </c>
      <c r="I641" s="13" t="s">
        <v>19</v>
      </c>
      <c r="J641">
        <f t="shared" si="12"/>
        <v>100</v>
      </c>
    </row>
    <row r="642" spans="1:11" hidden="1">
      <c r="A642" s="6">
        <v>46171</v>
      </c>
      <c r="B642" t="s">
        <v>838</v>
      </c>
      <c r="C642" t="s">
        <v>162</v>
      </c>
      <c r="D642" t="s">
        <v>176</v>
      </c>
      <c r="E642" t="s">
        <v>967</v>
      </c>
      <c r="F642" s="43" t="s">
        <v>968</v>
      </c>
      <c r="G642" s="6">
        <v>46171</v>
      </c>
      <c r="H642" t="s">
        <v>57</v>
      </c>
      <c r="I642" s="13" t="s">
        <v>19</v>
      </c>
      <c r="J642">
        <f t="shared" ref="J642" si="13">IF(I642="Completed",100,IF(I642="Ongoing",50,IF(I642="For Review",75,IF(I642="Delayed",30,0))))</f>
        <v>100</v>
      </c>
    </row>
    <row r="643" spans="1:11" hidden="1">
      <c r="A643" s="6">
        <v>46171</v>
      </c>
      <c r="B643" t="s">
        <v>838</v>
      </c>
      <c r="C643" t="s">
        <v>162</v>
      </c>
      <c r="D643" t="s">
        <v>176</v>
      </c>
      <c r="E643" t="s">
        <v>226</v>
      </c>
      <c r="F643" s="43" t="s">
        <v>971</v>
      </c>
      <c r="G643" s="6">
        <v>46171</v>
      </c>
      <c r="H643" t="s">
        <v>57</v>
      </c>
      <c r="I643" s="13" t="s">
        <v>19</v>
      </c>
      <c r="J643">
        <f t="shared" ref="J643" si="14">IF(I643="Completed",100,IF(I643="Ongoing",50,IF(I643="For Review",75,IF(I643="Delayed",30,0))))</f>
        <v>100</v>
      </c>
    </row>
    <row r="644" spans="1:11" hidden="1">
      <c r="A644" s="6">
        <v>46171</v>
      </c>
      <c r="B644" t="s">
        <v>343</v>
      </c>
      <c r="C644" t="s">
        <v>39</v>
      </c>
      <c r="D644" t="s">
        <v>15</v>
      </c>
      <c r="E644" t="s">
        <v>40</v>
      </c>
      <c r="F644" t="s">
        <v>591</v>
      </c>
      <c r="G644" s="6">
        <v>46171</v>
      </c>
      <c r="H644" t="s">
        <v>541</v>
      </c>
      <c r="I644" s="13" t="s">
        <v>19</v>
      </c>
      <c r="J644">
        <f t="shared" si="12"/>
        <v>100</v>
      </c>
      <c r="K644" t="s">
        <v>483</v>
      </c>
    </row>
    <row r="645" spans="1:11" hidden="1">
      <c r="A645" s="6">
        <v>46171</v>
      </c>
      <c r="B645" t="s">
        <v>343</v>
      </c>
      <c r="C645" t="s">
        <v>39</v>
      </c>
      <c r="D645" t="s">
        <v>15</v>
      </c>
      <c r="E645" t="s">
        <v>972</v>
      </c>
      <c r="F645" t="s">
        <v>973</v>
      </c>
      <c r="G645" s="6">
        <v>46171</v>
      </c>
      <c r="H645" t="s">
        <v>57</v>
      </c>
      <c r="I645" s="13" t="s">
        <v>19</v>
      </c>
      <c r="J645">
        <f t="shared" si="12"/>
        <v>100</v>
      </c>
      <c r="K645" t="s">
        <v>483</v>
      </c>
    </row>
    <row r="646" spans="1:11" hidden="1">
      <c r="A646" s="6">
        <v>46171</v>
      </c>
      <c r="B646" t="s">
        <v>234</v>
      </c>
      <c r="C646" t="s">
        <v>162</v>
      </c>
      <c r="D646" t="s">
        <v>176</v>
      </c>
      <c r="E646" t="s">
        <v>373</v>
      </c>
      <c r="F646" t="s">
        <v>974</v>
      </c>
      <c r="G646" s="6">
        <v>46171</v>
      </c>
      <c r="H646" t="s">
        <v>57</v>
      </c>
      <c r="I646" s="13" t="s">
        <v>19</v>
      </c>
      <c r="J646">
        <f t="shared" si="12"/>
        <v>100</v>
      </c>
    </row>
    <row r="647" spans="1:11" hidden="1">
      <c r="A647" s="6">
        <v>46171</v>
      </c>
      <c r="B647" t="s">
        <v>170</v>
      </c>
      <c r="C647" t="s">
        <v>171</v>
      </c>
      <c r="D647" t="s">
        <v>15</v>
      </c>
      <c r="E647" t="s">
        <v>362</v>
      </c>
      <c r="F647" t="s">
        <v>238</v>
      </c>
      <c r="G647" s="6">
        <v>46171</v>
      </c>
      <c r="H647" t="s">
        <v>18</v>
      </c>
      <c r="I647" s="13" t="s">
        <v>19</v>
      </c>
      <c r="J647">
        <f>IF(I647="Completed",100,IF(I647="Ongoing",50,IF(I647="For Review",75,IF(I647="Delayed",30,0))))</f>
        <v>100</v>
      </c>
    </row>
    <row r="648" spans="1:11" hidden="1">
      <c r="A648" s="6">
        <v>46171</v>
      </c>
      <c r="B648" t="s">
        <v>234</v>
      </c>
      <c r="C648" t="s">
        <v>162</v>
      </c>
      <c r="D648" t="s">
        <v>176</v>
      </c>
      <c r="E648" t="s">
        <v>975</v>
      </c>
      <c r="F648" t="s">
        <v>976</v>
      </c>
      <c r="G648" s="6">
        <v>46171</v>
      </c>
      <c r="H648" t="s">
        <v>18</v>
      </c>
      <c r="I648" s="13" t="s">
        <v>19</v>
      </c>
      <c r="J648">
        <f t="shared" si="12"/>
        <v>100</v>
      </c>
    </row>
    <row r="649" spans="1:11" hidden="1">
      <c r="A649" s="6">
        <v>46171</v>
      </c>
      <c r="B649" t="s">
        <v>234</v>
      </c>
      <c r="C649" t="s">
        <v>162</v>
      </c>
      <c r="D649" t="s">
        <v>176</v>
      </c>
      <c r="E649" t="s">
        <v>977</v>
      </c>
      <c r="F649" t="s">
        <v>978</v>
      </c>
      <c r="G649" s="6">
        <v>46171</v>
      </c>
      <c r="H649" t="s">
        <v>516</v>
      </c>
      <c r="I649" s="13" t="s">
        <v>19</v>
      </c>
      <c r="J649">
        <f t="shared" si="12"/>
        <v>100</v>
      </c>
    </row>
    <row r="650" spans="1:11" hidden="1">
      <c r="A650" s="6">
        <v>46171</v>
      </c>
      <c r="B650" t="s">
        <v>234</v>
      </c>
      <c r="C650" t="s">
        <v>162</v>
      </c>
      <c r="D650" t="s">
        <v>176</v>
      </c>
      <c r="E650" t="s">
        <v>979</v>
      </c>
      <c r="F650" t="s">
        <v>980</v>
      </c>
      <c r="G650" s="6">
        <v>46171</v>
      </c>
      <c r="H650" t="s">
        <v>18</v>
      </c>
      <c r="I650" s="13" t="s">
        <v>19</v>
      </c>
      <c r="J650">
        <f t="shared" si="12"/>
        <v>100</v>
      </c>
    </row>
    <row r="651" spans="1:11" hidden="1">
      <c r="A651" s="4" t="s">
        <v>981</v>
      </c>
      <c r="B651" t="s">
        <v>283</v>
      </c>
      <c r="C651" t="s">
        <v>162</v>
      </c>
      <c r="D651" t="s">
        <v>176</v>
      </c>
      <c r="E651" t="s">
        <v>935</v>
      </c>
      <c r="F651" t="s">
        <v>982</v>
      </c>
      <c r="G651" s="6">
        <v>46171</v>
      </c>
      <c r="H651" t="s">
        <v>18</v>
      </c>
      <c r="I651" s="13" t="s">
        <v>19</v>
      </c>
      <c r="J651">
        <f t="shared" si="12"/>
        <v>100</v>
      </c>
    </row>
    <row r="652" spans="1:11" hidden="1">
      <c r="A652" s="6">
        <v>46172</v>
      </c>
      <c r="B652" t="s">
        <v>260</v>
      </c>
      <c r="C652" t="s">
        <v>733</v>
      </c>
      <c r="D652" t="s">
        <v>340</v>
      </c>
      <c r="E652" t="s">
        <v>983</v>
      </c>
      <c r="F652" t="s">
        <v>984</v>
      </c>
      <c r="G652" s="6">
        <v>46172</v>
      </c>
      <c r="H652" t="s">
        <v>18</v>
      </c>
      <c r="I652" s="13" t="s">
        <v>19</v>
      </c>
      <c r="J652">
        <f t="shared" si="12"/>
        <v>100</v>
      </c>
    </row>
    <row r="653" spans="1:11" hidden="1">
      <c r="A653" s="6">
        <v>46174</v>
      </c>
      <c r="B653" t="s">
        <v>165</v>
      </c>
      <c r="C653" t="s">
        <v>162</v>
      </c>
      <c r="D653" t="s">
        <v>166</v>
      </c>
      <c r="E653" t="s">
        <v>301</v>
      </c>
      <c r="F653" t="s">
        <v>985</v>
      </c>
      <c r="G653" s="6">
        <v>46174</v>
      </c>
      <c r="H653" t="s">
        <v>552</v>
      </c>
      <c r="I653" s="13" t="s">
        <v>19</v>
      </c>
      <c r="J653">
        <f t="shared" si="12"/>
        <v>100</v>
      </c>
    </row>
    <row r="654" spans="1:11" hidden="1">
      <c r="A654" s="6">
        <v>46174</v>
      </c>
      <c r="B654" t="s">
        <v>165</v>
      </c>
      <c r="C654" t="s">
        <v>162</v>
      </c>
      <c r="D654" t="s">
        <v>166</v>
      </c>
      <c r="E654" t="s">
        <v>440</v>
      </c>
      <c r="F654" t="s">
        <v>986</v>
      </c>
      <c r="G654" s="6">
        <v>46174</v>
      </c>
      <c r="H654" t="s">
        <v>57</v>
      </c>
      <c r="I654" s="13" t="s">
        <v>19</v>
      </c>
      <c r="J654">
        <f>IF(I654="Completed",100,IF(I654="Ongoing",50,IF(I654="For Review",75,IF(I654="Delayed",30,0))))</f>
        <v>100</v>
      </c>
    </row>
    <row r="655" spans="1:11" hidden="1">
      <c r="A655" s="6">
        <v>46174</v>
      </c>
      <c r="B655" t="s">
        <v>170</v>
      </c>
      <c r="C655" t="s">
        <v>171</v>
      </c>
      <c r="D655" t="s">
        <v>15</v>
      </c>
      <c r="E655" t="s">
        <v>362</v>
      </c>
      <c r="F655" t="s">
        <v>862</v>
      </c>
      <c r="G655" s="6">
        <v>46174</v>
      </c>
      <c r="H655" t="s">
        <v>18</v>
      </c>
      <c r="I655" s="13" t="s">
        <v>19</v>
      </c>
      <c r="J655">
        <f t="shared" si="12"/>
        <v>100</v>
      </c>
    </row>
    <row r="656" spans="1:11" hidden="1">
      <c r="A656" s="6">
        <v>46174</v>
      </c>
      <c r="B656" t="s">
        <v>170</v>
      </c>
      <c r="C656" t="s">
        <v>171</v>
      </c>
      <c r="D656" t="s">
        <v>15</v>
      </c>
      <c r="E656" t="s">
        <v>501</v>
      </c>
      <c r="F656" t="s">
        <v>987</v>
      </c>
      <c r="G656" s="6">
        <v>46174</v>
      </c>
      <c r="H656" t="s">
        <v>57</v>
      </c>
      <c r="I656" s="13" t="s">
        <v>19</v>
      </c>
      <c r="J656">
        <f t="shared" si="12"/>
        <v>100</v>
      </c>
    </row>
    <row r="657" spans="1:10" hidden="1">
      <c r="A657" s="6">
        <v>46174</v>
      </c>
      <c r="B657" t="s">
        <v>170</v>
      </c>
      <c r="C657" t="s">
        <v>171</v>
      </c>
      <c r="D657" t="s">
        <v>15</v>
      </c>
      <c r="E657" t="s">
        <v>237</v>
      </c>
      <c r="F657" t="s">
        <v>282</v>
      </c>
      <c r="G657" s="6">
        <v>46174</v>
      </c>
      <c r="H657" t="s">
        <v>18</v>
      </c>
      <c r="I657" s="13" t="s">
        <v>19</v>
      </c>
      <c r="J657">
        <f t="shared" si="12"/>
        <v>100</v>
      </c>
    </row>
    <row r="658" spans="1:10">
      <c r="A658" s="6">
        <v>46174</v>
      </c>
      <c r="B658" t="s">
        <v>260</v>
      </c>
      <c r="C658" t="s">
        <v>162</v>
      </c>
      <c r="D658" t="s">
        <v>340</v>
      </c>
      <c r="E658" t="s">
        <v>445</v>
      </c>
      <c r="F658" t="s">
        <v>988</v>
      </c>
      <c r="G658" s="6">
        <v>46174</v>
      </c>
      <c r="H658" t="s">
        <v>541</v>
      </c>
      <c r="I658" t="s">
        <v>550</v>
      </c>
      <c r="J658">
        <f t="shared" si="12"/>
        <v>50</v>
      </c>
    </row>
    <row r="659" spans="1:10" hidden="1">
      <c r="A659" s="6">
        <v>46174</v>
      </c>
      <c r="B659" s="5" t="s">
        <v>222</v>
      </c>
      <c r="C659" t="s">
        <v>162</v>
      </c>
      <c r="D659" t="s">
        <v>179</v>
      </c>
      <c r="E659" t="s">
        <v>953</v>
      </c>
      <c r="F659" t="s">
        <v>989</v>
      </c>
      <c r="G659" s="6">
        <v>46174</v>
      </c>
      <c r="H659" t="s">
        <v>541</v>
      </c>
      <c r="I659" s="13" t="s">
        <v>19</v>
      </c>
      <c r="J659">
        <f>IF(I659="Completed",100,IF(I659="Ongoing",50,IF(I659="For Review",75,IF(I659="Delayed",30,0))))</f>
        <v>100</v>
      </c>
    </row>
    <row r="660" spans="1:10" hidden="1">
      <c r="A660" s="6">
        <v>46174</v>
      </c>
      <c r="B660" t="s">
        <v>283</v>
      </c>
      <c r="C660" t="s">
        <v>162</v>
      </c>
      <c r="D660" t="s">
        <v>176</v>
      </c>
      <c r="E660" t="s">
        <v>990</v>
      </c>
      <c r="F660" t="s">
        <v>991</v>
      </c>
      <c r="G660" s="6">
        <v>46174</v>
      </c>
      <c r="H660" t="s">
        <v>57</v>
      </c>
      <c r="I660" s="13" t="s">
        <v>19</v>
      </c>
      <c r="J660">
        <f t="shared" si="12"/>
        <v>100</v>
      </c>
    </row>
    <row r="661" spans="1:10" hidden="1">
      <c r="A661" s="6">
        <v>46174</v>
      </c>
      <c r="B661" t="s">
        <v>184</v>
      </c>
      <c r="C661" t="s">
        <v>162</v>
      </c>
      <c r="D661" t="s">
        <v>176</v>
      </c>
      <c r="E661" t="s">
        <v>992</v>
      </c>
      <c r="F661" t="s">
        <v>993</v>
      </c>
      <c r="G661" s="6">
        <v>46174</v>
      </c>
      <c r="H661" t="s">
        <v>18</v>
      </c>
      <c r="I661" s="13" t="s">
        <v>19</v>
      </c>
      <c r="J661">
        <f>IF(I661="Completed",100,IF(I661="Ongoing",50,IF(I661="For Review",75,IF(I661="Delayed",30,0))))</f>
        <v>100</v>
      </c>
    </row>
    <row r="662" spans="1:10" hidden="1">
      <c r="A662" s="6">
        <v>46174</v>
      </c>
      <c r="B662" t="s">
        <v>234</v>
      </c>
      <c r="C662" t="s">
        <v>162</v>
      </c>
      <c r="D662" t="s">
        <v>176</v>
      </c>
      <c r="E662" t="s">
        <v>992</v>
      </c>
      <c r="F662" t="s">
        <v>993</v>
      </c>
      <c r="G662" s="6">
        <v>46174</v>
      </c>
      <c r="H662" t="s">
        <v>18</v>
      </c>
      <c r="I662" s="13" t="s">
        <v>19</v>
      </c>
      <c r="J662">
        <f>IF(I662="Completed",100,IF(I662="Ongoing",50,IF(I662="For Review",75,IF(I662="Delayed",30,0))))</f>
        <v>100</v>
      </c>
    </row>
    <row r="663" spans="1:10" hidden="1">
      <c r="A663" s="6">
        <v>46174</v>
      </c>
      <c r="B663" t="s">
        <v>283</v>
      </c>
      <c r="C663" t="s">
        <v>162</v>
      </c>
      <c r="D663" t="s">
        <v>176</v>
      </c>
      <c r="E663" t="s">
        <v>994</v>
      </c>
      <c r="F663" t="s">
        <v>995</v>
      </c>
      <c r="G663" s="6">
        <v>46174</v>
      </c>
      <c r="H663" t="s">
        <v>18</v>
      </c>
      <c r="I663" s="13" t="s">
        <v>19</v>
      </c>
      <c r="J663">
        <f t="shared" si="12"/>
        <v>100</v>
      </c>
    </row>
    <row r="664" spans="1:10" hidden="1">
      <c r="A664" s="6">
        <v>46175</v>
      </c>
      <c r="B664" t="s">
        <v>838</v>
      </c>
      <c r="C664" t="s">
        <v>162</v>
      </c>
      <c r="D664" t="s">
        <v>176</v>
      </c>
      <c r="E664" t="s">
        <v>996</v>
      </c>
      <c r="F664" t="s">
        <v>997</v>
      </c>
      <c r="G664" s="6">
        <v>46174</v>
      </c>
      <c r="H664" t="s">
        <v>998</v>
      </c>
      <c r="I664" s="13" t="s">
        <v>19</v>
      </c>
      <c r="J664">
        <v>100</v>
      </c>
    </row>
    <row r="665" spans="1:10" hidden="1">
      <c r="A665" s="6">
        <v>46175</v>
      </c>
      <c r="B665" t="s">
        <v>234</v>
      </c>
      <c r="C665" t="s">
        <v>162</v>
      </c>
      <c r="D665" t="s">
        <v>176</v>
      </c>
      <c r="E665" t="s">
        <v>999</v>
      </c>
      <c r="F665" t="s">
        <v>1000</v>
      </c>
      <c r="G665" s="6">
        <v>46174</v>
      </c>
      <c r="H665" t="s">
        <v>18</v>
      </c>
      <c r="I665" s="13" t="s">
        <v>19</v>
      </c>
      <c r="J665">
        <f t="shared" si="12"/>
        <v>100</v>
      </c>
    </row>
    <row r="666" spans="1:10" hidden="1">
      <c r="A666" s="6">
        <v>46175</v>
      </c>
      <c r="B666" t="s">
        <v>283</v>
      </c>
      <c r="C666" t="s">
        <v>162</v>
      </c>
      <c r="D666" t="s">
        <v>176</v>
      </c>
      <c r="E666" t="s">
        <v>990</v>
      </c>
      <c r="F666" t="s">
        <v>1001</v>
      </c>
      <c r="G666" s="6">
        <v>46175</v>
      </c>
      <c r="H666" t="s">
        <v>18</v>
      </c>
      <c r="I666" s="13" t="s">
        <v>19</v>
      </c>
      <c r="J666">
        <f t="shared" si="12"/>
        <v>100</v>
      </c>
    </row>
    <row r="667" spans="1:10" hidden="1">
      <c r="A667" s="6">
        <v>46175</v>
      </c>
      <c r="B667" t="s">
        <v>178</v>
      </c>
      <c r="C667" t="s">
        <v>162</v>
      </c>
      <c r="D667" t="s">
        <v>179</v>
      </c>
      <c r="E667" t="s">
        <v>1002</v>
      </c>
      <c r="F667" t="s">
        <v>1003</v>
      </c>
      <c r="G667" s="6">
        <v>46175</v>
      </c>
      <c r="H667" t="s">
        <v>18</v>
      </c>
      <c r="I667" s="13" t="s">
        <v>19</v>
      </c>
      <c r="J667">
        <f t="shared" si="12"/>
        <v>100</v>
      </c>
    </row>
    <row r="668" spans="1:10" hidden="1">
      <c r="A668" s="6">
        <v>46175</v>
      </c>
      <c r="B668" t="s">
        <v>178</v>
      </c>
      <c r="C668" t="s">
        <v>162</v>
      </c>
      <c r="D668" t="s">
        <v>179</v>
      </c>
      <c r="E668" t="s">
        <v>1002</v>
      </c>
      <c r="F668" t="s">
        <v>1004</v>
      </c>
      <c r="G668" s="6">
        <v>46175</v>
      </c>
      <c r="H668" t="s">
        <v>18</v>
      </c>
      <c r="I668" s="13" t="s">
        <v>19</v>
      </c>
      <c r="J668">
        <f t="shared" si="12"/>
        <v>100</v>
      </c>
    </row>
    <row r="669" spans="1:10" hidden="1">
      <c r="A669" s="6">
        <v>46175</v>
      </c>
      <c r="B669" t="s">
        <v>178</v>
      </c>
      <c r="C669" t="s">
        <v>162</v>
      </c>
      <c r="D669" t="s">
        <v>179</v>
      </c>
      <c r="E669" t="s">
        <v>301</v>
      </c>
      <c r="F669" t="s">
        <v>1005</v>
      </c>
      <c r="G669" s="6">
        <v>46175</v>
      </c>
      <c r="H669" t="s">
        <v>18</v>
      </c>
      <c r="I669" s="13" t="s">
        <v>19</v>
      </c>
      <c r="J669">
        <f t="shared" si="12"/>
        <v>100</v>
      </c>
    </row>
    <row r="670" spans="1:10" hidden="1">
      <c r="A670" s="6">
        <v>46175</v>
      </c>
      <c r="B670" t="s">
        <v>165</v>
      </c>
      <c r="C670" t="s">
        <v>162</v>
      </c>
      <c r="D670" t="s">
        <v>166</v>
      </c>
      <c r="E670" t="s">
        <v>1006</v>
      </c>
      <c r="F670" t="s">
        <v>1007</v>
      </c>
      <c r="G670" s="6">
        <v>46175</v>
      </c>
      <c r="H670" t="s">
        <v>57</v>
      </c>
      <c r="I670" s="13" t="s">
        <v>19</v>
      </c>
      <c r="J670">
        <f t="shared" si="12"/>
        <v>100</v>
      </c>
    </row>
    <row r="671" spans="1:10" hidden="1">
      <c r="A671" s="6">
        <v>46175</v>
      </c>
      <c r="B671" t="s">
        <v>165</v>
      </c>
      <c r="C671" t="s">
        <v>162</v>
      </c>
      <c r="D671" t="s">
        <v>166</v>
      </c>
      <c r="E671" t="s">
        <v>1006</v>
      </c>
      <c r="F671" t="s">
        <v>1008</v>
      </c>
      <c r="G671" s="6">
        <v>46175</v>
      </c>
      <c r="H671" t="s">
        <v>57</v>
      </c>
      <c r="I671" s="13" t="s">
        <v>19</v>
      </c>
      <c r="J671">
        <f t="shared" si="12"/>
        <v>100</v>
      </c>
    </row>
    <row r="672" spans="1:10" hidden="1">
      <c r="A672" s="6">
        <v>46175</v>
      </c>
      <c r="B672" t="s">
        <v>165</v>
      </c>
      <c r="C672" t="s">
        <v>162</v>
      </c>
      <c r="D672" t="s">
        <v>166</v>
      </c>
      <c r="E672" t="s">
        <v>1006</v>
      </c>
      <c r="F672" t="s">
        <v>1009</v>
      </c>
      <c r="G672" s="6">
        <v>46175</v>
      </c>
      <c r="H672" t="s">
        <v>57</v>
      </c>
      <c r="I672" s="13" t="s">
        <v>19</v>
      </c>
      <c r="J672">
        <v>100</v>
      </c>
    </row>
    <row r="673" spans="1:10" hidden="1">
      <c r="A673" s="6">
        <v>46175</v>
      </c>
      <c r="B673" t="s">
        <v>768</v>
      </c>
      <c r="C673" t="s">
        <v>162</v>
      </c>
      <c r="D673" t="s">
        <v>166</v>
      </c>
      <c r="E673" t="s">
        <v>1006</v>
      </c>
      <c r="F673" t="s">
        <v>1010</v>
      </c>
      <c r="G673" s="6">
        <v>46175</v>
      </c>
      <c r="H673" t="s">
        <v>57</v>
      </c>
      <c r="I673" s="13" t="s">
        <v>19</v>
      </c>
      <c r="J673">
        <f t="shared" ref="J673:J761" si="15">IF(I673="Completed",100,IF(I673="Ongoing",50,IF(I673="For Review",75,IF(I673="Delayed",30,0))))</f>
        <v>100</v>
      </c>
    </row>
    <row r="674" spans="1:10" ht="15" hidden="1">
      <c r="A674" s="6">
        <v>46175</v>
      </c>
      <c r="B674" s="7" t="s">
        <v>290</v>
      </c>
      <c r="C674" t="s">
        <v>162</v>
      </c>
      <c r="D674" t="s">
        <v>176</v>
      </c>
      <c r="E674" t="s">
        <v>1006</v>
      </c>
      <c r="F674" t="s">
        <v>1011</v>
      </c>
      <c r="G674" s="6">
        <v>46175</v>
      </c>
      <c r="H674" t="s">
        <v>18</v>
      </c>
      <c r="I674" s="13" t="s">
        <v>19</v>
      </c>
      <c r="J674">
        <f t="shared" si="15"/>
        <v>100</v>
      </c>
    </row>
    <row r="675" spans="1:10" ht="15" hidden="1">
      <c r="A675" s="6">
        <v>46175</v>
      </c>
      <c r="B675" s="7" t="s">
        <v>290</v>
      </c>
      <c r="C675" t="s">
        <v>162</v>
      </c>
      <c r="D675" t="s">
        <v>176</v>
      </c>
      <c r="E675" t="s">
        <v>1012</v>
      </c>
      <c r="F675" t="s">
        <v>1013</v>
      </c>
      <c r="G675" s="6">
        <v>46176</v>
      </c>
      <c r="H675" t="s">
        <v>18</v>
      </c>
      <c r="I675" s="13" t="s">
        <v>19</v>
      </c>
      <c r="J675">
        <f t="shared" si="15"/>
        <v>100</v>
      </c>
    </row>
    <row r="676" spans="1:10" hidden="1">
      <c r="A676" s="6">
        <v>46175</v>
      </c>
      <c r="B676" t="s">
        <v>170</v>
      </c>
      <c r="C676" t="s">
        <v>171</v>
      </c>
      <c r="D676" t="s">
        <v>15</v>
      </c>
      <c r="E676" t="s">
        <v>82</v>
      </c>
      <c r="F676" t="s">
        <v>1014</v>
      </c>
      <c r="G676" s="6">
        <v>46175</v>
      </c>
      <c r="H676" t="s">
        <v>57</v>
      </c>
      <c r="I676" s="13" t="s">
        <v>19</v>
      </c>
      <c r="J676">
        <f t="shared" si="15"/>
        <v>100</v>
      </c>
    </row>
    <row r="677" spans="1:10" hidden="1">
      <c r="A677" s="6">
        <v>46175</v>
      </c>
      <c r="B677" s="5" t="s">
        <v>835</v>
      </c>
      <c r="C677" t="s">
        <v>162</v>
      </c>
      <c r="D677" t="s">
        <v>340</v>
      </c>
      <c r="E677" t="s">
        <v>1006</v>
      </c>
      <c r="F677" t="s">
        <v>442</v>
      </c>
      <c r="G677" s="6">
        <v>46175</v>
      </c>
      <c r="H677" t="s">
        <v>541</v>
      </c>
      <c r="I677" s="13" t="s">
        <v>19</v>
      </c>
      <c r="J677">
        <f t="shared" si="15"/>
        <v>100</v>
      </c>
    </row>
    <row r="678" spans="1:10" hidden="1">
      <c r="A678" s="6">
        <v>46175</v>
      </c>
      <c r="B678" s="5" t="s">
        <v>222</v>
      </c>
      <c r="C678" t="s">
        <v>162</v>
      </c>
      <c r="D678" t="s">
        <v>179</v>
      </c>
      <c r="E678" t="s">
        <v>1006</v>
      </c>
      <c r="F678" t="s">
        <v>1015</v>
      </c>
      <c r="G678" s="6">
        <v>46175</v>
      </c>
      <c r="H678" t="s">
        <v>541</v>
      </c>
      <c r="I678" s="13" t="s">
        <v>19</v>
      </c>
      <c r="J678">
        <v>100</v>
      </c>
    </row>
    <row r="679" spans="1:10" hidden="1">
      <c r="A679" s="6">
        <v>46175</v>
      </c>
      <c r="B679" s="5" t="s">
        <v>323</v>
      </c>
      <c r="C679" t="s">
        <v>23</v>
      </c>
      <c r="D679" t="s">
        <v>15</v>
      </c>
      <c r="E679" t="s">
        <v>1016</v>
      </c>
      <c r="F679" t="s">
        <v>1017</v>
      </c>
      <c r="G679" s="6"/>
      <c r="H679" t="s">
        <v>18</v>
      </c>
      <c r="I679" s="26" t="s">
        <v>19</v>
      </c>
      <c r="J679">
        <f t="shared" si="15"/>
        <v>100</v>
      </c>
    </row>
    <row r="680" spans="1:10" hidden="1">
      <c r="A680" s="6">
        <v>46175</v>
      </c>
      <c r="B680" s="5" t="s">
        <v>186</v>
      </c>
      <c r="C680" t="s">
        <v>162</v>
      </c>
      <c r="D680" t="s">
        <v>166</v>
      </c>
      <c r="E680" t="s">
        <v>1006</v>
      </c>
      <c r="F680" t="s">
        <v>1018</v>
      </c>
      <c r="G680" s="6">
        <v>46175</v>
      </c>
      <c r="H680" t="s">
        <v>18</v>
      </c>
      <c r="I680" s="26" t="s">
        <v>19</v>
      </c>
      <c r="J680">
        <v>100</v>
      </c>
    </row>
    <row r="681" spans="1:10" hidden="1">
      <c r="A681" s="6">
        <v>46175</v>
      </c>
      <c r="B681" t="s">
        <v>454</v>
      </c>
      <c r="C681" t="s">
        <v>162</v>
      </c>
      <c r="D681" t="s">
        <v>1019</v>
      </c>
      <c r="E681" t="s">
        <v>1006</v>
      </c>
      <c r="F681" t="s">
        <v>1020</v>
      </c>
      <c r="G681" s="6">
        <v>46175</v>
      </c>
      <c r="H681" t="s">
        <v>18</v>
      </c>
      <c r="I681" s="13" t="s">
        <v>19</v>
      </c>
      <c r="J681">
        <f>IF(I681="Completed",100,IF(I681="Ongoing",50,IF(I681="For Review",75,IF(I681="Delayed",30,0))))</f>
        <v>100</v>
      </c>
    </row>
    <row r="682" spans="1:10" hidden="1">
      <c r="A682" s="6">
        <v>46176</v>
      </c>
      <c r="B682" s="5" t="s">
        <v>186</v>
      </c>
      <c r="C682" t="s">
        <v>162</v>
      </c>
      <c r="D682" t="s">
        <v>166</v>
      </c>
      <c r="E682" t="s">
        <v>1006</v>
      </c>
      <c r="F682" t="s">
        <v>1021</v>
      </c>
      <c r="G682" s="6">
        <v>46175</v>
      </c>
      <c r="H682" t="s">
        <v>18</v>
      </c>
      <c r="I682" s="26" t="s">
        <v>19</v>
      </c>
      <c r="J682">
        <v>100</v>
      </c>
    </row>
    <row r="683" spans="1:10" hidden="1">
      <c r="A683" s="6">
        <v>46176</v>
      </c>
      <c r="B683" t="s">
        <v>768</v>
      </c>
      <c r="C683" t="s">
        <v>162</v>
      </c>
      <c r="D683" t="s">
        <v>166</v>
      </c>
      <c r="E683" t="s">
        <v>1006</v>
      </c>
      <c r="F683" t="s">
        <v>1022</v>
      </c>
      <c r="G683" s="6">
        <v>46176</v>
      </c>
      <c r="H683" t="s">
        <v>18</v>
      </c>
      <c r="I683" s="13" t="s">
        <v>19</v>
      </c>
      <c r="J683">
        <f t="shared" si="15"/>
        <v>100</v>
      </c>
    </row>
    <row r="684" spans="1:10" ht="15" hidden="1">
      <c r="A684" s="6">
        <v>46176</v>
      </c>
      <c r="B684" s="7" t="s">
        <v>290</v>
      </c>
      <c r="C684" t="s">
        <v>162</v>
      </c>
      <c r="D684" t="s">
        <v>176</v>
      </c>
      <c r="E684" t="s">
        <v>1006</v>
      </c>
      <c r="F684" t="s">
        <v>1023</v>
      </c>
      <c r="G684" s="6">
        <v>46176</v>
      </c>
      <c r="H684" t="s">
        <v>18</v>
      </c>
      <c r="I684" s="13" t="s">
        <v>19</v>
      </c>
      <c r="J684">
        <f t="shared" si="15"/>
        <v>100</v>
      </c>
    </row>
    <row r="685" spans="1:10" hidden="1">
      <c r="A685" s="6">
        <v>46176</v>
      </c>
      <c r="B685" t="s">
        <v>178</v>
      </c>
      <c r="C685" t="s">
        <v>162</v>
      </c>
      <c r="D685" t="s">
        <v>179</v>
      </c>
      <c r="E685" t="s">
        <v>1002</v>
      </c>
      <c r="F685" t="s">
        <v>1024</v>
      </c>
      <c r="G685" s="6">
        <v>46176</v>
      </c>
      <c r="H685" t="s">
        <v>18</v>
      </c>
      <c r="I685" s="13" t="s">
        <v>19</v>
      </c>
      <c r="J685">
        <f t="shared" si="15"/>
        <v>100</v>
      </c>
    </row>
    <row r="686" spans="1:10" hidden="1">
      <c r="A686" s="6">
        <v>46176</v>
      </c>
      <c r="B686" t="s">
        <v>323</v>
      </c>
      <c r="C686" t="s">
        <v>23</v>
      </c>
      <c r="D686" t="s">
        <v>15</v>
      </c>
      <c r="E686" t="s">
        <v>1025</v>
      </c>
      <c r="F686" t="s">
        <v>1026</v>
      </c>
      <c r="G686" s="6">
        <v>46176</v>
      </c>
      <c r="H686" t="s">
        <v>18</v>
      </c>
      <c r="I686" s="13" t="s">
        <v>19</v>
      </c>
      <c r="J686">
        <f t="shared" si="15"/>
        <v>100</v>
      </c>
    </row>
    <row r="687" spans="1:10" hidden="1">
      <c r="A687" s="6">
        <v>46176</v>
      </c>
      <c r="B687" t="s">
        <v>170</v>
      </c>
      <c r="C687" t="s">
        <v>171</v>
      </c>
      <c r="D687" t="s">
        <v>758</v>
      </c>
      <c r="E687" t="s">
        <v>30</v>
      </c>
      <c r="F687" t="s">
        <v>1027</v>
      </c>
      <c r="G687" s="6">
        <v>46176</v>
      </c>
      <c r="H687" t="s">
        <v>18</v>
      </c>
      <c r="I687" s="13" t="s">
        <v>19</v>
      </c>
      <c r="J687">
        <f>IF(I687="Completed",100,IF(I687="Ongoing",50,IF(I687="For Review",75,IF(I687="Delayed",30,0))))</f>
        <v>100</v>
      </c>
    </row>
    <row r="688" spans="1:10" ht="15" hidden="1">
      <c r="A688" s="6">
        <v>46176</v>
      </c>
      <c r="B688" s="7" t="s">
        <v>290</v>
      </c>
      <c r="C688" s="7" t="s">
        <v>162</v>
      </c>
      <c r="D688" t="s">
        <v>176</v>
      </c>
      <c r="E688" t="s">
        <v>1006</v>
      </c>
      <c r="F688" t="s">
        <v>1028</v>
      </c>
      <c r="G688" s="6">
        <v>46176</v>
      </c>
      <c r="H688" t="s">
        <v>18</v>
      </c>
      <c r="I688" s="13" t="s">
        <v>19</v>
      </c>
      <c r="J688">
        <f t="shared" si="15"/>
        <v>100</v>
      </c>
    </row>
    <row r="689" spans="1:11" hidden="1">
      <c r="A689" s="6">
        <v>46176</v>
      </c>
      <c r="B689" t="s">
        <v>234</v>
      </c>
      <c r="C689" t="s">
        <v>162</v>
      </c>
      <c r="D689" t="s">
        <v>176</v>
      </c>
      <c r="E689" t="s">
        <v>1006</v>
      </c>
      <c r="F689" t="s">
        <v>1029</v>
      </c>
      <c r="G689" s="6">
        <v>46176</v>
      </c>
      <c r="H689" t="s">
        <v>18</v>
      </c>
      <c r="I689" s="13" t="s">
        <v>19</v>
      </c>
      <c r="J689">
        <f t="shared" si="15"/>
        <v>100</v>
      </c>
    </row>
    <row r="690" spans="1:11" hidden="1">
      <c r="A690" s="6">
        <v>46176</v>
      </c>
      <c r="B690" t="s">
        <v>165</v>
      </c>
      <c r="C690" t="s">
        <v>162</v>
      </c>
      <c r="D690" t="s">
        <v>166</v>
      </c>
      <c r="E690" t="s">
        <v>1006</v>
      </c>
      <c r="F690" t="s">
        <v>1030</v>
      </c>
      <c r="G690" s="6">
        <v>46176</v>
      </c>
      <c r="H690" t="s">
        <v>516</v>
      </c>
      <c r="I690" s="13" t="s">
        <v>19</v>
      </c>
      <c r="J690">
        <f>IF(I690="Completed",100,IF(I690="Ongoing",50,IF(I690="For Review",75,IF(I690="Delayed",30,0))))</f>
        <v>100</v>
      </c>
    </row>
    <row r="691" spans="1:11" hidden="1">
      <c r="A691" s="6">
        <v>46176</v>
      </c>
      <c r="B691" t="s">
        <v>165</v>
      </c>
      <c r="C691" t="s">
        <v>162</v>
      </c>
      <c r="D691" t="s">
        <v>166</v>
      </c>
      <c r="E691" t="s">
        <v>1006</v>
      </c>
      <c r="F691" t="s">
        <v>1010</v>
      </c>
      <c r="G691" s="6">
        <v>46176</v>
      </c>
      <c r="H691" t="s">
        <v>516</v>
      </c>
      <c r="I691" s="13" t="s">
        <v>19</v>
      </c>
      <c r="J691">
        <f>IF(I691="Completed",100,IF(I691="Ongoing",50,IF(I691="For Review",75,IF(I691="Delayed",30,0))))</f>
        <v>100</v>
      </c>
    </row>
    <row r="692" spans="1:11" hidden="1">
      <c r="A692" s="6">
        <v>46176</v>
      </c>
      <c r="B692" t="s">
        <v>165</v>
      </c>
      <c r="C692" t="s">
        <v>162</v>
      </c>
      <c r="D692" t="s">
        <v>166</v>
      </c>
      <c r="E692" t="s">
        <v>1006</v>
      </c>
      <c r="F692" t="s">
        <v>1009</v>
      </c>
      <c r="G692" s="6">
        <v>46176</v>
      </c>
      <c r="H692" t="s">
        <v>516</v>
      </c>
      <c r="I692" s="13" t="s">
        <v>19</v>
      </c>
      <c r="J692">
        <f>IF(I692="Completed",100,IF(I692="Ongoing",50,IF(I692="For Review",75,IF(I692="Delayed",30,0))))</f>
        <v>100</v>
      </c>
    </row>
    <row r="693" spans="1:11" hidden="1">
      <c r="A693" s="6">
        <v>46176</v>
      </c>
      <c r="B693" t="s">
        <v>165</v>
      </c>
      <c r="C693" t="s">
        <v>162</v>
      </c>
      <c r="D693" t="s">
        <v>166</v>
      </c>
      <c r="E693" t="s">
        <v>1031</v>
      </c>
      <c r="F693" t="s">
        <v>1032</v>
      </c>
      <c r="G693" s="6">
        <v>46176</v>
      </c>
      <c r="H693" t="s">
        <v>516</v>
      </c>
      <c r="I693" s="13" t="s">
        <v>19</v>
      </c>
      <c r="J693">
        <f>IF(I693="Completed",100,IF(I693="Ongoing",50,IF(I693="For Review",75,IF(I693="Delayed",30,0))))</f>
        <v>100</v>
      </c>
    </row>
    <row r="694" spans="1:11" hidden="1">
      <c r="A694" s="6">
        <v>46176</v>
      </c>
      <c r="B694" t="s">
        <v>186</v>
      </c>
      <c r="C694" t="s">
        <v>162</v>
      </c>
      <c r="D694" t="s">
        <v>166</v>
      </c>
      <c r="E694" t="s">
        <v>1006</v>
      </c>
      <c r="F694" t="s">
        <v>1033</v>
      </c>
      <c r="G694" s="6">
        <v>46176</v>
      </c>
      <c r="H694" t="s">
        <v>18</v>
      </c>
      <c r="I694" t="s">
        <v>19</v>
      </c>
      <c r="J694">
        <f t="shared" si="15"/>
        <v>100</v>
      </c>
    </row>
    <row r="695" spans="1:11" hidden="1">
      <c r="A695" s="6">
        <v>46176</v>
      </c>
      <c r="B695" t="s">
        <v>186</v>
      </c>
      <c r="C695" t="s">
        <v>162</v>
      </c>
      <c r="D695" t="s">
        <v>166</v>
      </c>
      <c r="E695" t="s">
        <v>30</v>
      </c>
      <c r="F695" t="s">
        <v>1034</v>
      </c>
      <c r="G695" s="6">
        <v>46176</v>
      </c>
      <c r="H695" t="s">
        <v>18</v>
      </c>
      <c r="I695" t="s">
        <v>19</v>
      </c>
      <c r="J695">
        <f t="shared" si="15"/>
        <v>100</v>
      </c>
    </row>
    <row r="696" spans="1:11" hidden="1">
      <c r="A696" s="6">
        <v>46176</v>
      </c>
      <c r="B696" t="s">
        <v>184</v>
      </c>
      <c r="C696" t="s">
        <v>203</v>
      </c>
      <c r="D696" t="s">
        <v>176</v>
      </c>
      <c r="E696" t="s">
        <v>1006</v>
      </c>
      <c r="F696" t="s">
        <v>1035</v>
      </c>
      <c r="G696" s="6">
        <v>46176</v>
      </c>
      <c r="H696" t="s">
        <v>1036</v>
      </c>
      <c r="I696" t="s">
        <v>19</v>
      </c>
      <c r="J696">
        <f t="shared" si="15"/>
        <v>100</v>
      </c>
    </row>
    <row r="697" spans="1:11" hidden="1">
      <c r="A697" s="6">
        <v>46176</v>
      </c>
      <c r="B697" t="s">
        <v>184</v>
      </c>
      <c r="C697" t="s">
        <v>203</v>
      </c>
      <c r="D697" t="s">
        <v>176</v>
      </c>
      <c r="E697" t="s">
        <v>1006</v>
      </c>
      <c r="F697" t="s">
        <v>1037</v>
      </c>
      <c r="G697" s="6">
        <v>46176</v>
      </c>
      <c r="H697" t="s">
        <v>1036</v>
      </c>
      <c r="I697" t="s">
        <v>19</v>
      </c>
      <c r="J697">
        <f t="shared" si="15"/>
        <v>100</v>
      </c>
    </row>
    <row r="698" spans="1:11" hidden="1">
      <c r="A698" s="6">
        <v>46177</v>
      </c>
      <c r="B698" s="5" t="s">
        <v>222</v>
      </c>
      <c r="C698" t="s">
        <v>162</v>
      </c>
      <c r="D698" t="s">
        <v>179</v>
      </c>
      <c r="E698" t="s">
        <v>1006</v>
      </c>
      <c r="F698" t="s">
        <v>1038</v>
      </c>
      <c r="G698" s="6">
        <v>46177</v>
      </c>
      <c r="H698" t="s">
        <v>18</v>
      </c>
      <c r="I698" t="s">
        <v>19</v>
      </c>
      <c r="J698">
        <f t="shared" si="15"/>
        <v>100</v>
      </c>
    </row>
    <row r="699" spans="1:11" hidden="1">
      <c r="A699" s="6">
        <v>46177</v>
      </c>
      <c r="B699" s="5" t="s">
        <v>222</v>
      </c>
      <c r="C699" t="s">
        <v>162</v>
      </c>
      <c r="D699" t="s">
        <v>179</v>
      </c>
      <c r="E699" t="s">
        <v>1006</v>
      </c>
      <c r="F699" t="s">
        <v>1039</v>
      </c>
      <c r="G699" s="6">
        <v>46177</v>
      </c>
      <c r="H699" t="s">
        <v>18</v>
      </c>
      <c r="I699" t="s">
        <v>19</v>
      </c>
      <c r="J699">
        <f t="shared" si="15"/>
        <v>100</v>
      </c>
    </row>
    <row r="700" spans="1:11" hidden="1">
      <c r="A700" s="6">
        <v>46177</v>
      </c>
      <c r="B700" t="s">
        <v>1040</v>
      </c>
      <c r="C700" t="s">
        <v>15</v>
      </c>
      <c r="D700" t="s">
        <v>39</v>
      </c>
      <c r="E700" t="s">
        <v>40</v>
      </c>
      <c r="F700" t="s">
        <v>1041</v>
      </c>
      <c r="G700" s="6">
        <v>46177</v>
      </c>
      <c r="H700" t="s">
        <v>541</v>
      </c>
      <c r="I700" t="s">
        <v>19</v>
      </c>
      <c r="J700">
        <f t="shared" si="15"/>
        <v>100</v>
      </c>
      <c r="K700" t="s">
        <v>535</v>
      </c>
    </row>
    <row r="701" spans="1:11" ht="15" hidden="1">
      <c r="A701" s="20">
        <v>46177</v>
      </c>
      <c r="B701" t="s">
        <v>389</v>
      </c>
      <c r="C701" t="s">
        <v>271</v>
      </c>
      <c r="D701" t="s">
        <v>15</v>
      </c>
      <c r="E701" t="s">
        <v>391</v>
      </c>
      <c r="F701" t="s">
        <v>1042</v>
      </c>
      <c r="G701" s="20">
        <v>46177</v>
      </c>
      <c r="H701" t="s">
        <v>57</v>
      </c>
      <c r="I701" t="s">
        <v>19</v>
      </c>
      <c r="J701">
        <f t="shared" si="15"/>
        <v>100</v>
      </c>
    </row>
    <row r="702" spans="1:11" ht="15" hidden="1">
      <c r="A702" s="20">
        <v>46177</v>
      </c>
      <c r="B702" s="7" t="s">
        <v>389</v>
      </c>
      <c r="C702" s="7" t="s">
        <v>271</v>
      </c>
      <c r="D702" s="7" t="s">
        <v>15</v>
      </c>
      <c r="E702" s="7" t="s">
        <v>82</v>
      </c>
      <c r="F702" t="s">
        <v>1043</v>
      </c>
      <c r="G702" s="20">
        <v>46177</v>
      </c>
      <c r="H702" t="s">
        <v>516</v>
      </c>
      <c r="I702" t="s">
        <v>19</v>
      </c>
      <c r="J702">
        <f t="shared" si="15"/>
        <v>100</v>
      </c>
    </row>
    <row r="703" spans="1:11">
      <c r="A703" s="6">
        <v>46177</v>
      </c>
      <c r="B703" t="s">
        <v>178</v>
      </c>
      <c r="C703" t="s">
        <v>162</v>
      </c>
      <c r="D703" t="s">
        <v>179</v>
      </c>
      <c r="E703" t="s">
        <v>1002</v>
      </c>
      <c r="F703" t="s">
        <v>1044</v>
      </c>
      <c r="G703" s="6">
        <v>46177</v>
      </c>
      <c r="H703" t="s">
        <v>18</v>
      </c>
      <c r="I703" t="s">
        <v>848</v>
      </c>
      <c r="J703">
        <f t="shared" si="15"/>
        <v>0</v>
      </c>
    </row>
    <row r="704" spans="1:11">
      <c r="A704" s="6">
        <v>46177</v>
      </c>
      <c r="B704" t="s">
        <v>178</v>
      </c>
      <c r="C704" t="s">
        <v>162</v>
      </c>
      <c r="D704" t="s">
        <v>179</v>
      </c>
      <c r="E704" t="s">
        <v>1002</v>
      </c>
      <c r="F704" t="s">
        <v>1045</v>
      </c>
      <c r="G704" s="6">
        <v>46177</v>
      </c>
      <c r="H704" t="s">
        <v>18</v>
      </c>
      <c r="I704" t="s">
        <v>51</v>
      </c>
      <c r="J704">
        <f t="shared" si="15"/>
        <v>50</v>
      </c>
    </row>
    <row r="705" spans="1:10">
      <c r="A705" s="6">
        <v>46177</v>
      </c>
      <c r="B705" t="s">
        <v>178</v>
      </c>
      <c r="C705" t="s">
        <v>162</v>
      </c>
      <c r="D705" t="s">
        <v>179</v>
      </c>
      <c r="E705" t="s">
        <v>301</v>
      </c>
      <c r="F705" t="s">
        <v>1005</v>
      </c>
      <c r="G705" s="6">
        <v>46177</v>
      </c>
      <c r="H705" t="s">
        <v>766</v>
      </c>
      <c r="I705" t="s">
        <v>51</v>
      </c>
      <c r="J705">
        <f t="shared" si="15"/>
        <v>50</v>
      </c>
    </row>
    <row r="706" spans="1:10" hidden="1">
      <c r="A706" s="6">
        <v>46177</v>
      </c>
      <c r="B706" t="s">
        <v>838</v>
      </c>
      <c r="C706" t="s">
        <v>162</v>
      </c>
      <c r="D706" t="s">
        <v>176</v>
      </c>
      <c r="E706" t="s">
        <v>1046</v>
      </c>
      <c r="F706" t="s">
        <v>1047</v>
      </c>
      <c r="G706" s="6">
        <v>46177</v>
      </c>
      <c r="H706" t="s">
        <v>57</v>
      </c>
      <c r="I706" t="s">
        <v>19</v>
      </c>
      <c r="J706">
        <f t="shared" si="15"/>
        <v>100</v>
      </c>
    </row>
    <row r="707" spans="1:10" hidden="1">
      <c r="A707" s="6">
        <v>46177</v>
      </c>
      <c r="B707" t="s">
        <v>768</v>
      </c>
      <c r="C707" t="s">
        <v>162</v>
      </c>
      <c r="D707" t="s">
        <v>166</v>
      </c>
      <c r="E707" t="s">
        <v>1046</v>
      </c>
      <c r="F707" t="s">
        <v>1048</v>
      </c>
      <c r="G707" s="6">
        <v>46177</v>
      </c>
      <c r="H707" t="s">
        <v>18</v>
      </c>
      <c r="I707" t="s">
        <v>19</v>
      </c>
      <c r="J707">
        <f t="shared" si="15"/>
        <v>100</v>
      </c>
    </row>
    <row r="708" spans="1:10" hidden="1">
      <c r="A708" s="6">
        <v>46177</v>
      </c>
      <c r="B708" t="s">
        <v>300</v>
      </c>
      <c r="C708" t="s">
        <v>162</v>
      </c>
      <c r="D708" t="s">
        <v>163</v>
      </c>
      <c r="E708" t="s">
        <v>1046</v>
      </c>
      <c r="F708" t="s">
        <v>433</v>
      </c>
      <c r="G708" s="6">
        <v>46177</v>
      </c>
      <c r="H708" t="s">
        <v>18</v>
      </c>
      <c r="I708" t="s">
        <v>19</v>
      </c>
      <c r="J708">
        <f t="shared" si="15"/>
        <v>100</v>
      </c>
    </row>
    <row r="709" spans="1:10" hidden="1">
      <c r="A709" s="6">
        <v>46177</v>
      </c>
      <c r="B709" t="s">
        <v>165</v>
      </c>
      <c r="C709" t="s">
        <v>162</v>
      </c>
      <c r="D709" t="s">
        <v>166</v>
      </c>
      <c r="E709" t="s">
        <v>1046</v>
      </c>
      <c r="F709" t="s">
        <v>1008</v>
      </c>
      <c r="G709" s="6">
        <v>46177</v>
      </c>
      <c r="H709" t="s">
        <v>57</v>
      </c>
      <c r="I709" s="13" t="s">
        <v>19</v>
      </c>
      <c r="J709">
        <f t="shared" si="15"/>
        <v>100</v>
      </c>
    </row>
    <row r="710" spans="1:10" hidden="1">
      <c r="A710" s="6">
        <v>46177</v>
      </c>
      <c r="B710" t="s">
        <v>165</v>
      </c>
      <c r="C710" t="s">
        <v>162</v>
      </c>
      <c r="D710" t="s">
        <v>166</v>
      </c>
      <c r="E710" t="s">
        <v>1046</v>
      </c>
      <c r="F710" t="s">
        <v>1049</v>
      </c>
      <c r="G710" s="6">
        <v>46177</v>
      </c>
      <c r="H710" t="s">
        <v>57</v>
      </c>
      <c r="I710" s="13" t="s">
        <v>19</v>
      </c>
      <c r="J710">
        <f t="shared" si="15"/>
        <v>100</v>
      </c>
    </row>
    <row r="711" spans="1:10" hidden="1">
      <c r="A711" s="6">
        <v>46177</v>
      </c>
      <c r="B711" t="s">
        <v>186</v>
      </c>
      <c r="C711" t="s">
        <v>162</v>
      </c>
      <c r="D711" t="s">
        <v>166</v>
      </c>
      <c r="E711" t="s">
        <v>1006</v>
      </c>
      <c r="F711" t="s">
        <v>1050</v>
      </c>
      <c r="G711" s="6">
        <v>46177</v>
      </c>
      <c r="H711" t="s">
        <v>18</v>
      </c>
      <c r="I711" s="13" t="s">
        <v>19</v>
      </c>
      <c r="J711">
        <f t="shared" si="15"/>
        <v>100</v>
      </c>
    </row>
    <row r="712" spans="1:10" hidden="1">
      <c r="A712" s="6">
        <v>46177</v>
      </c>
      <c r="B712" t="s">
        <v>186</v>
      </c>
      <c r="C712" t="s">
        <v>162</v>
      </c>
      <c r="D712" t="s">
        <v>166</v>
      </c>
      <c r="E712" t="s">
        <v>1006</v>
      </c>
      <c r="F712" t="s">
        <v>1051</v>
      </c>
      <c r="G712" s="6">
        <v>46177</v>
      </c>
      <c r="H712" t="s">
        <v>18</v>
      </c>
      <c r="I712" s="13" t="s">
        <v>19</v>
      </c>
      <c r="J712">
        <f t="shared" ref="J712" si="16">IF(I712="Completed",100,IF(I712="Ongoing",50,IF(I712="For Review",75,IF(I712="Delayed",30,0))))</f>
        <v>100</v>
      </c>
    </row>
    <row r="713" spans="1:10" hidden="1">
      <c r="A713" s="6">
        <v>46177</v>
      </c>
      <c r="B713" t="s">
        <v>186</v>
      </c>
      <c r="C713" t="s">
        <v>162</v>
      </c>
      <c r="D713" t="s">
        <v>166</v>
      </c>
      <c r="E713" t="s">
        <v>1006</v>
      </c>
      <c r="F713" t="s">
        <v>1052</v>
      </c>
      <c r="G713" s="6">
        <v>46177</v>
      </c>
      <c r="H713" t="s">
        <v>18</v>
      </c>
      <c r="I713" s="13" t="s">
        <v>19</v>
      </c>
      <c r="J713">
        <f t="shared" ref="J713:J714" si="17">IF(I713="Completed",100,IF(I713="Ongoing",50,IF(I713="For Review",75,IF(I713="Delayed",30,0))))</f>
        <v>100</v>
      </c>
    </row>
    <row r="714" spans="1:10" hidden="1">
      <c r="A714" s="6">
        <v>46177</v>
      </c>
      <c r="B714" t="s">
        <v>186</v>
      </c>
      <c r="C714" t="s">
        <v>162</v>
      </c>
      <c r="D714" t="s">
        <v>166</v>
      </c>
      <c r="E714" t="s">
        <v>1006</v>
      </c>
      <c r="F714" t="s">
        <v>1053</v>
      </c>
      <c r="G714" s="6">
        <v>46177</v>
      </c>
      <c r="H714" t="s">
        <v>18</v>
      </c>
      <c r="I714" s="13" t="s">
        <v>19</v>
      </c>
      <c r="J714">
        <f t="shared" si="17"/>
        <v>100</v>
      </c>
    </row>
    <row r="715" spans="1:10" hidden="1">
      <c r="A715" s="6">
        <v>46177</v>
      </c>
      <c r="B715" t="s">
        <v>234</v>
      </c>
      <c r="C715" t="s">
        <v>203</v>
      </c>
      <c r="D715" t="s">
        <v>176</v>
      </c>
      <c r="E715" t="s">
        <v>1006</v>
      </c>
      <c r="F715" t="s">
        <v>469</v>
      </c>
      <c r="G715" s="6">
        <v>46177</v>
      </c>
      <c r="H715" t="s">
        <v>18</v>
      </c>
      <c r="I715" s="13" t="s">
        <v>19</v>
      </c>
      <c r="J715">
        <f t="shared" si="15"/>
        <v>100</v>
      </c>
    </row>
    <row r="716" spans="1:10" ht="15" hidden="1">
      <c r="A716" s="6">
        <v>46177</v>
      </c>
      <c r="B716" s="7" t="s">
        <v>290</v>
      </c>
      <c r="C716" t="s">
        <v>203</v>
      </c>
      <c r="D716" t="s">
        <v>176</v>
      </c>
      <c r="E716" t="s">
        <v>1006</v>
      </c>
      <c r="F716" t="s">
        <v>1054</v>
      </c>
      <c r="G716" s="6">
        <v>46177</v>
      </c>
      <c r="H716" t="s">
        <v>18</v>
      </c>
      <c r="I716" s="13" t="s">
        <v>19</v>
      </c>
      <c r="J716">
        <f t="shared" si="15"/>
        <v>100</v>
      </c>
    </row>
    <row r="717" spans="1:10" hidden="1">
      <c r="A717" s="6">
        <v>46177</v>
      </c>
      <c r="B717" t="s">
        <v>242</v>
      </c>
      <c r="C717" t="s">
        <v>339</v>
      </c>
      <c r="D717" t="s">
        <v>340</v>
      </c>
      <c r="E717" t="s">
        <v>1055</v>
      </c>
      <c r="F717" t="s">
        <v>1056</v>
      </c>
      <c r="G717" s="4" t="s">
        <v>1057</v>
      </c>
      <c r="H717" t="s">
        <v>18</v>
      </c>
      <c r="I717" s="13" t="s">
        <v>19</v>
      </c>
      <c r="J717">
        <f t="shared" si="15"/>
        <v>100</v>
      </c>
    </row>
    <row r="718" spans="1:10" hidden="1">
      <c r="A718" s="6">
        <v>46177</v>
      </c>
      <c r="B718" t="s">
        <v>454</v>
      </c>
      <c r="C718" t="s">
        <v>162</v>
      </c>
      <c r="D718" t="s">
        <v>1019</v>
      </c>
      <c r="E718" t="s">
        <v>953</v>
      </c>
      <c r="F718" t="s">
        <v>1058</v>
      </c>
      <c r="G718" s="6">
        <v>46177</v>
      </c>
      <c r="H718" t="s">
        <v>18</v>
      </c>
      <c r="I718" s="13" t="s">
        <v>19</v>
      </c>
      <c r="J718">
        <f t="shared" ref="J718" si="18">IF(I718="Completed",100,IF(I718="Ongoing",50,IF(I718="For Review",75,IF(I718="Delayed",30,0))))</f>
        <v>100</v>
      </c>
    </row>
    <row r="719" spans="1:10" hidden="1">
      <c r="A719" s="6">
        <v>46177</v>
      </c>
      <c r="B719" t="s">
        <v>170</v>
      </c>
      <c r="C719" t="s">
        <v>171</v>
      </c>
      <c r="D719" t="s">
        <v>15</v>
      </c>
      <c r="E719" t="s">
        <v>30</v>
      </c>
      <c r="F719" t="s">
        <v>1059</v>
      </c>
      <c r="G719" s="6">
        <v>46177</v>
      </c>
      <c r="H719" t="s">
        <v>18</v>
      </c>
      <c r="I719" t="s">
        <v>19</v>
      </c>
      <c r="J719">
        <f t="shared" si="15"/>
        <v>100</v>
      </c>
    </row>
    <row r="720" spans="1:10" hidden="1">
      <c r="A720" s="6">
        <v>46178</v>
      </c>
      <c r="B720" t="s">
        <v>234</v>
      </c>
      <c r="C720" t="s">
        <v>162</v>
      </c>
      <c r="D720" t="s">
        <v>176</v>
      </c>
      <c r="E720" t="s">
        <v>1006</v>
      </c>
      <c r="F720" t="s">
        <v>1060</v>
      </c>
      <c r="G720" s="6">
        <v>46178</v>
      </c>
      <c r="H720" t="s">
        <v>18</v>
      </c>
      <c r="I720" t="s">
        <v>19</v>
      </c>
      <c r="J720">
        <f>IF(I720="Completed",100,IF(I720="Ongoing",50,IF(I720="For Review",75,IF(I720="Delayed",30,0))))</f>
        <v>100</v>
      </c>
    </row>
    <row r="721" spans="1:11" hidden="1">
      <c r="A721" s="6">
        <v>46178</v>
      </c>
      <c r="B721" t="s">
        <v>768</v>
      </c>
      <c r="C721" t="s">
        <v>203</v>
      </c>
      <c r="D721" t="s">
        <v>166</v>
      </c>
      <c r="E721" t="s">
        <v>1006</v>
      </c>
      <c r="F721" t="s">
        <v>1049</v>
      </c>
      <c r="G721" s="6">
        <v>46178</v>
      </c>
      <c r="H721" t="s">
        <v>18</v>
      </c>
      <c r="I721" s="13" t="s">
        <v>19</v>
      </c>
      <c r="J721">
        <f t="shared" si="15"/>
        <v>100</v>
      </c>
    </row>
    <row r="722" spans="1:11" hidden="1">
      <c r="A722" s="6">
        <v>46178</v>
      </c>
      <c r="B722" t="s">
        <v>768</v>
      </c>
      <c r="C722" t="s">
        <v>203</v>
      </c>
      <c r="D722" t="s">
        <v>166</v>
      </c>
      <c r="E722" t="s">
        <v>1006</v>
      </c>
      <c r="F722" t="s">
        <v>1061</v>
      </c>
      <c r="G722" s="6">
        <v>46178</v>
      </c>
      <c r="H722" t="s">
        <v>18</v>
      </c>
      <c r="I722" s="13" t="s">
        <v>19</v>
      </c>
      <c r="J722">
        <f t="shared" si="15"/>
        <v>100</v>
      </c>
    </row>
    <row r="723" spans="1:11" hidden="1">
      <c r="A723" s="6">
        <v>46178</v>
      </c>
      <c r="B723" t="s">
        <v>186</v>
      </c>
      <c r="C723" t="s">
        <v>162</v>
      </c>
      <c r="D723" t="s">
        <v>166</v>
      </c>
      <c r="E723" t="s">
        <v>1006</v>
      </c>
      <c r="F723" t="s">
        <v>1062</v>
      </c>
      <c r="G723" s="6">
        <v>46178</v>
      </c>
      <c r="H723" t="s">
        <v>18</v>
      </c>
      <c r="I723" t="s">
        <v>19</v>
      </c>
      <c r="J723">
        <f>IF(I723="Completed",100,IF(I723="Ongoing",50,IF(I723="For Review",75,IF(I723="Delayed",30,0))))</f>
        <v>100</v>
      </c>
    </row>
    <row r="724" spans="1:11" hidden="1">
      <c r="A724" s="6">
        <v>46178</v>
      </c>
      <c r="B724" t="s">
        <v>186</v>
      </c>
      <c r="C724" t="s">
        <v>162</v>
      </c>
      <c r="D724" t="s">
        <v>166</v>
      </c>
      <c r="E724" t="s">
        <v>1006</v>
      </c>
      <c r="F724" t="s">
        <v>1063</v>
      </c>
      <c r="G724" s="6">
        <v>46178</v>
      </c>
      <c r="H724" t="s">
        <v>18</v>
      </c>
      <c r="I724" t="s">
        <v>19</v>
      </c>
      <c r="J724">
        <f>IF(I724="Completed",100,IF(I724="Ongoing",50,IF(I724="For Review",75,IF(I724="Delayed",30,0))))</f>
        <v>100</v>
      </c>
    </row>
    <row r="725" spans="1:11" hidden="1">
      <c r="A725" s="6">
        <v>46178</v>
      </c>
      <c r="B725" t="s">
        <v>838</v>
      </c>
      <c r="C725" t="s">
        <v>162</v>
      </c>
      <c r="D725" t="s">
        <v>176</v>
      </c>
      <c r="E725" t="s">
        <v>1006</v>
      </c>
      <c r="F725" t="s">
        <v>1064</v>
      </c>
      <c r="G725" s="6">
        <v>46178</v>
      </c>
      <c r="H725" t="s">
        <v>18</v>
      </c>
      <c r="I725" t="s">
        <v>539</v>
      </c>
      <c r="J725">
        <v>100</v>
      </c>
    </row>
    <row r="726" spans="1:11" hidden="1">
      <c r="A726" s="6">
        <v>46178</v>
      </c>
      <c r="B726" t="s">
        <v>424</v>
      </c>
      <c r="C726" t="s">
        <v>162</v>
      </c>
      <c r="D726" t="s">
        <v>176</v>
      </c>
      <c r="E726" t="s">
        <v>1006</v>
      </c>
      <c r="F726" t="s">
        <v>1065</v>
      </c>
      <c r="G726" s="6">
        <v>46178</v>
      </c>
      <c r="H726" t="s">
        <v>18</v>
      </c>
      <c r="I726" t="s">
        <v>539</v>
      </c>
      <c r="J726">
        <v>100</v>
      </c>
    </row>
    <row r="727" spans="1:11" hidden="1">
      <c r="A727" s="6">
        <v>46178</v>
      </c>
      <c r="B727" t="s">
        <v>424</v>
      </c>
      <c r="C727" t="s">
        <v>162</v>
      </c>
      <c r="D727" t="s">
        <v>176</v>
      </c>
      <c r="E727" t="s">
        <v>1066</v>
      </c>
      <c r="F727" t="s">
        <v>1067</v>
      </c>
      <c r="G727" s="6">
        <v>46178</v>
      </c>
      <c r="H727" t="s">
        <v>18</v>
      </c>
      <c r="I727" t="s">
        <v>19</v>
      </c>
      <c r="J727">
        <v>100</v>
      </c>
    </row>
    <row r="728" spans="1:11" ht="15" hidden="1">
      <c r="A728" s="6">
        <v>46178</v>
      </c>
      <c r="B728" s="7" t="s">
        <v>290</v>
      </c>
      <c r="C728" t="s">
        <v>162</v>
      </c>
      <c r="D728" t="s">
        <v>176</v>
      </c>
      <c r="E728" t="s">
        <v>1012</v>
      </c>
      <c r="F728" t="s">
        <v>1068</v>
      </c>
      <c r="G728" s="6">
        <v>46178</v>
      </c>
      <c r="H728" t="s">
        <v>18</v>
      </c>
      <c r="I728" s="13" t="s">
        <v>19</v>
      </c>
      <c r="J728">
        <v>100</v>
      </c>
    </row>
    <row r="729" spans="1:11" hidden="1">
      <c r="A729" s="6">
        <v>46178</v>
      </c>
      <c r="B729" t="s">
        <v>165</v>
      </c>
      <c r="C729" t="s">
        <v>162</v>
      </c>
      <c r="D729" t="s">
        <v>166</v>
      </c>
      <c r="E729" t="s">
        <v>1006</v>
      </c>
      <c r="F729" t="s">
        <v>1069</v>
      </c>
      <c r="G729" s="6">
        <v>46178</v>
      </c>
      <c r="H729" t="s">
        <v>57</v>
      </c>
      <c r="I729" t="s">
        <v>19</v>
      </c>
      <c r="J729">
        <v>100</v>
      </c>
    </row>
    <row r="730" spans="1:11" hidden="1">
      <c r="A730" s="6">
        <v>46178</v>
      </c>
      <c r="B730" t="s">
        <v>165</v>
      </c>
      <c r="C730" t="s">
        <v>162</v>
      </c>
      <c r="D730" t="s">
        <v>166</v>
      </c>
      <c r="E730" t="s">
        <v>1006</v>
      </c>
      <c r="F730" t="s">
        <v>1070</v>
      </c>
      <c r="G730" s="6">
        <v>46178</v>
      </c>
      <c r="H730" t="s">
        <v>57</v>
      </c>
      <c r="I730" t="s">
        <v>19</v>
      </c>
      <c r="J730">
        <v>100</v>
      </c>
    </row>
    <row r="731" spans="1:11" hidden="1">
      <c r="A731" s="6">
        <v>46178</v>
      </c>
      <c r="B731" t="s">
        <v>165</v>
      </c>
      <c r="C731" t="s">
        <v>162</v>
      </c>
      <c r="D731" t="s">
        <v>166</v>
      </c>
      <c r="E731" t="s">
        <v>1071</v>
      </c>
      <c r="F731" t="s">
        <v>1072</v>
      </c>
      <c r="G731" s="6">
        <v>46178</v>
      </c>
      <c r="H731" t="s">
        <v>57</v>
      </c>
      <c r="I731" t="s">
        <v>19</v>
      </c>
      <c r="J731">
        <v>100</v>
      </c>
    </row>
    <row r="732" spans="1:11" hidden="1">
      <c r="A732" s="6">
        <v>46178</v>
      </c>
      <c r="B732" t="s">
        <v>242</v>
      </c>
      <c r="C732" t="s">
        <v>339</v>
      </c>
      <c r="D732" t="s">
        <v>179</v>
      </c>
      <c r="E732" t="s">
        <v>503</v>
      </c>
      <c r="F732" t="s">
        <v>1073</v>
      </c>
      <c r="G732" s="6">
        <v>46178</v>
      </c>
      <c r="H732" t="s">
        <v>18</v>
      </c>
      <c r="I732" s="13" t="s">
        <v>19</v>
      </c>
      <c r="J732">
        <f>IF(I732="Completed",100,IF(I732="Ongoing",50,IF(I732="For Review",75,IF(I732="Delayed",30,0))))</f>
        <v>100</v>
      </c>
      <c r="K732" t="s">
        <v>1074</v>
      </c>
    </row>
    <row r="733" spans="1:11">
      <c r="A733" s="6">
        <v>46178</v>
      </c>
      <c r="B733" t="s">
        <v>1040</v>
      </c>
      <c r="C733" t="s">
        <v>15</v>
      </c>
      <c r="D733" t="s">
        <v>39</v>
      </c>
      <c r="E733" t="s">
        <v>815</v>
      </c>
      <c r="F733" t="s">
        <v>1075</v>
      </c>
      <c r="G733" s="6">
        <v>46178</v>
      </c>
      <c r="H733" t="s">
        <v>905</v>
      </c>
      <c r="I733" t="s">
        <v>550</v>
      </c>
      <c r="J733">
        <f>IF(I733="Completed",100,IF(I733="Ongoing",50,IF(I733="For Review",75,IF(I733="Delayed",30,0))))</f>
        <v>50</v>
      </c>
    </row>
    <row r="734" spans="1:11" hidden="1">
      <c r="A734" s="6">
        <v>46178</v>
      </c>
      <c r="B734" t="s">
        <v>222</v>
      </c>
      <c r="C734" t="s">
        <v>162</v>
      </c>
      <c r="D734" t="s">
        <v>179</v>
      </c>
      <c r="E734" t="s">
        <v>1076</v>
      </c>
      <c r="F734" t="s">
        <v>1077</v>
      </c>
      <c r="G734" s="6">
        <v>46178</v>
      </c>
      <c r="H734" t="s">
        <v>18</v>
      </c>
      <c r="I734" t="s">
        <v>19</v>
      </c>
      <c r="J734">
        <f>IF(I734="Completed",100,IF(I734="Ongoing",50,IF(I734="For Review",75,IF(I734="Delayed",30,0))))</f>
        <v>100</v>
      </c>
    </row>
    <row r="735" spans="1:11" hidden="1">
      <c r="A735" s="6">
        <v>46178</v>
      </c>
      <c r="B735" t="s">
        <v>424</v>
      </c>
      <c r="C735" t="s">
        <v>162</v>
      </c>
      <c r="D735" t="s">
        <v>176</v>
      </c>
      <c r="E735" t="s">
        <v>737</v>
      </c>
      <c r="F735" t="s">
        <v>1078</v>
      </c>
      <c r="G735" s="6">
        <v>46178</v>
      </c>
      <c r="H735" t="s">
        <v>541</v>
      </c>
      <c r="I735" t="s">
        <v>19</v>
      </c>
      <c r="J735">
        <f>IF(I735="Completed",100,IF(I735="Ongoing",50,IF(I735="For Review",75,IF(I735="Delayed",30,0))))</f>
        <v>100</v>
      </c>
    </row>
    <row r="736" spans="1:11" hidden="1">
      <c r="A736" s="6">
        <v>46178</v>
      </c>
      <c r="B736" t="s">
        <v>184</v>
      </c>
      <c r="C736" t="s">
        <v>162</v>
      </c>
      <c r="D736" t="s">
        <v>176</v>
      </c>
      <c r="E736" t="s">
        <v>1006</v>
      </c>
      <c r="F736" t="s">
        <v>1079</v>
      </c>
      <c r="G736" s="6">
        <v>46178</v>
      </c>
      <c r="H736" t="s">
        <v>18</v>
      </c>
      <c r="I736" t="s">
        <v>19</v>
      </c>
      <c r="J736">
        <f>IF(I736="Completed",100,IF(I736="Ongoing",50,IF(I736="For Review",75,IF(I736="Delayed",30,0))))</f>
        <v>100</v>
      </c>
    </row>
    <row r="737" spans="1:10" hidden="1">
      <c r="A737" s="6">
        <v>46178</v>
      </c>
      <c r="B737" t="s">
        <v>184</v>
      </c>
      <c r="C737" t="s">
        <v>162</v>
      </c>
      <c r="D737" t="s">
        <v>176</v>
      </c>
      <c r="E737" t="s">
        <v>1080</v>
      </c>
      <c r="F737" t="s">
        <v>1081</v>
      </c>
      <c r="G737" s="6">
        <v>46178</v>
      </c>
      <c r="H737" t="s">
        <v>18</v>
      </c>
      <c r="I737" t="s">
        <v>19</v>
      </c>
      <c r="J737">
        <f>IF(I737="Completed",100,IF(I737="Ongoing",50,IF(I737="For Review",75,IF(I737="Delayed",30,0))))</f>
        <v>100</v>
      </c>
    </row>
    <row r="738" spans="1:10" hidden="1">
      <c r="A738" s="6">
        <v>46178</v>
      </c>
      <c r="B738" t="s">
        <v>454</v>
      </c>
      <c r="C738" t="s">
        <v>162</v>
      </c>
      <c r="D738" t="s">
        <v>1019</v>
      </c>
      <c r="E738" t="s">
        <v>953</v>
      </c>
      <c r="F738" t="s">
        <v>1082</v>
      </c>
      <c r="G738" s="6">
        <v>46178</v>
      </c>
      <c r="H738" t="s">
        <v>18</v>
      </c>
      <c r="I738" t="s">
        <v>19</v>
      </c>
      <c r="J738">
        <f t="shared" ref="J738" si="19">IF(I738="Completed",100,IF(I738="Ongoing",50,IF(I738="For Review",75,IF(I738="Delayed",30,0))))</f>
        <v>100</v>
      </c>
    </row>
    <row r="739" spans="1:10" hidden="1">
      <c r="A739" s="6">
        <v>46178</v>
      </c>
      <c r="B739" t="s">
        <v>178</v>
      </c>
      <c r="C739" t="s">
        <v>162</v>
      </c>
      <c r="D739" t="s">
        <v>179</v>
      </c>
      <c r="E739" t="s">
        <v>301</v>
      </c>
      <c r="F739" t="s">
        <v>1005</v>
      </c>
      <c r="G739" s="6">
        <v>46178</v>
      </c>
      <c r="H739" t="s">
        <v>766</v>
      </c>
      <c r="I739" t="s">
        <v>19</v>
      </c>
      <c r="J739">
        <f t="shared" si="15"/>
        <v>100</v>
      </c>
    </row>
    <row r="740" spans="1:10" hidden="1">
      <c r="A740" s="6">
        <v>46178</v>
      </c>
      <c r="B740" t="s">
        <v>178</v>
      </c>
      <c r="C740" t="s">
        <v>162</v>
      </c>
      <c r="D740" t="s">
        <v>179</v>
      </c>
      <c r="E740" t="s">
        <v>1076</v>
      </c>
      <c r="F740" t="s">
        <v>1005</v>
      </c>
      <c r="G740" s="6">
        <v>46178</v>
      </c>
      <c r="H740" t="s">
        <v>18</v>
      </c>
      <c r="I740" t="s">
        <v>19</v>
      </c>
      <c r="J740">
        <f t="shared" si="15"/>
        <v>100</v>
      </c>
    </row>
    <row r="741" spans="1:10" hidden="1">
      <c r="A741" s="4" t="s">
        <v>1083</v>
      </c>
      <c r="B741" t="s">
        <v>1084</v>
      </c>
      <c r="C741" t="s">
        <v>162</v>
      </c>
      <c r="D741" t="s">
        <v>163</v>
      </c>
      <c r="E741" t="s">
        <v>1006</v>
      </c>
      <c r="F741" t="s">
        <v>1085</v>
      </c>
      <c r="G741" s="6">
        <v>46175</v>
      </c>
      <c r="H741" t="s">
        <v>18</v>
      </c>
      <c r="I741" t="s">
        <v>19</v>
      </c>
      <c r="J741">
        <f t="shared" si="15"/>
        <v>100</v>
      </c>
    </row>
    <row r="742" spans="1:10" hidden="1">
      <c r="A742" s="4" t="s">
        <v>1086</v>
      </c>
      <c r="B742" t="s">
        <v>1084</v>
      </c>
      <c r="C742" t="s">
        <v>162</v>
      </c>
      <c r="D742" t="s">
        <v>163</v>
      </c>
      <c r="E742" t="s">
        <v>1006</v>
      </c>
      <c r="F742" t="s">
        <v>1087</v>
      </c>
      <c r="G742" s="6">
        <v>46175</v>
      </c>
      <c r="H742" t="s">
        <v>18</v>
      </c>
      <c r="I742" t="s">
        <v>19</v>
      </c>
      <c r="J742">
        <f t="shared" si="15"/>
        <v>100</v>
      </c>
    </row>
    <row r="743" spans="1:10" hidden="1">
      <c r="A743" s="4" t="s">
        <v>1088</v>
      </c>
      <c r="B743" t="s">
        <v>1084</v>
      </c>
      <c r="C743" t="s">
        <v>162</v>
      </c>
      <c r="D743" t="s">
        <v>163</v>
      </c>
      <c r="E743" t="s">
        <v>1006</v>
      </c>
      <c r="F743" t="s">
        <v>1089</v>
      </c>
      <c r="G743" s="6">
        <v>46175</v>
      </c>
      <c r="H743" t="s">
        <v>18</v>
      </c>
      <c r="I743" t="s">
        <v>19</v>
      </c>
      <c r="J743">
        <f t="shared" si="15"/>
        <v>100</v>
      </c>
    </row>
    <row r="744" spans="1:10" hidden="1">
      <c r="A744" s="6">
        <v>46179</v>
      </c>
      <c r="B744" t="s">
        <v>1084</v>
      </c>
      <c r="C744" t="s">
        <v>162</v>
      </c>
      <c r="D744" t="s">
        <v>163</v>
      </c>
      <c r="E744" t="s">
        <v>1006</v>
      </c>
      <c r="F744" t="s">
        <v>1090</v>
      </c>
      <c r="G744" s="6">
        <v>46176</v>
      </c>
      <c r="H744" t="s">
        <v>18</v>
      </c>
      <c r="I744" t="s">
        <v>19</v>
      </c>
      <c r="J744">
        <f t="shared" si="15"/>
        <v>100</v>
      </c>
    </row>
    <row r="745" spans="1:10" hidden="1">
      <c r="A745" s="4" t="s">
        <v>1091</v>
      </c>
      <c r="B745" t="s">
        <v>1084</v>
      </c>
      <c r="C745" t="s">
        <v>162</v>
      </c>
      <c r="D745" t="s">
        <v>163</v>
      </c>
      <c r="E745" t="s">
        <v>1006</v>
      </c>
      <c r="F745" t="s">
        <v>1092</v>
      </c>
      <c r="G745" s="6">
        <v>46178</v>
      </c>
      <c r="H745" t="s">
        <v>18</v>
      </c>
      <c r="I745" t="s">
        <v>19</v>
      </c>
      <c r="J745">
        <f t="shared" si="15"/>
        <v>100</v>
      </c>
    </row>
    <row r="746" spans="1:10" hidden="1">
      <c r="A746" s="4" t="s">
        <v>1093</v>
      </c>
      <c r="B746" t="s">
        <v>1084</v>
      </c>
      <c r="C746" t="s">
        <v>162</v>
      </c>
      <c r="D746" t="s">
        <v>163</v>
      </c>
      <c r="E746" t="s">
        <v>1094</v>
      </c>
      <c r="F746" t="s">
        <v>1095</v>
      </c>
      <c r="G746" s="6">
        <v>46171</v>
      </c>
      <c r="H746" t="s">
        <v>18</v>
      </c>
      <c r="I746" t="s">
        <v>19</v>
      </c>
      <c r="J746">
        <f t="shared" si="15"/>
        <v>100</v>
      </c>
    </row>
    <row r="747" spans="1:10" hidden="1">
      <c r="A747" s="4" t="s">
        <v>1096</v>
      </c>
      <c r="B747" t="s">
        <v>1084</v>
      </c>
      <c r="C747" t="s">
        <v>162</v>
      </c>
      <c r="D747" t="s">
        <v>163</v>
      </c>
      <c r="E747" t="s">
        <v>1097</v>
      </c>
      <c r="F747" t="s">
        <v>1095</v>
      </c>
      <c r="G747" s="6">
        <v>46168</v>
      </c>
      <c r="H747" t="s">
        <v>18</v>
      </c>
      <c r="I747" t="s">
        <v>19</v>
      </c>
      <c r="J747">
        <f t="shared" si="15"/>
        <v>100</v>
      </c>
    </row>
    <row r="748" spans="1:10" hidden="1">
      <c r="A748" s="4" t="s">
        <v>1098</v>
      </c>
      <c r="B748" t="s">
        <v>1084</v>
      </c>
      <c r="C748" t="s">
        <v>162</v>
      </c>
      <c r="D748" t="s">
        <v>163</v>
      </c>
      <c r="E748" t="s">
        <v>1099</v>
      </c>
      <c r="F748" t="s">
        <v>1095</v>
      </c>
      <c r="G748" s="6">
        <v>46175</v>
      </c>
      <c r="H748" t="s">
        <v>18</v>
      </c>
      <c r="I748" t="s">
        <v>19</v>
      </c>
      <c r="J748">
        <f t="shared" si="15"/>
        <v>100</v>
      </c>
    </row>
    <row r="749" spans="1:10" hidden="1">
      <c r="A749" s="4" t="s">
        <v>1100</v>
      </c>
      <c r="B749" t="s">
        <v>1084</v>
      </c>
      <c r="C749" t="s">
        <v>162</v>
      </c>
      <c r="D749" t="s">
        <v>163</v>
      </c>
      <c r="E749" t="s">
        <v>1101</v>
      </c>
      <c r="F749" t="s">
        <v>1095</v>
      </c>
      <c r="G749" s="6">
        <v>46178</v>
      </c>
      <c r="H749" t="s">
        <v>18</v>
      </c>
      <c r="I749" t="s">
        <v>19</v>
      </c>
      <c r="J749">
        <f t="shared" si="15"/>
        <v>100</v>
      </c>
    </row>
    <row r="750" spans="1:10" hidden="1">
      <c r="A750" s="4" t="s">
        <v>1102</v>
      </c>
      <c r="B750" t="s">
        <v>1084</v>
      </c>
      <c r="C750" t="s">
        <v>162</v>
      </c>
      <c r="D750" t="s">
        <v>163</v>
      </c>
      <c r="E750" t="s">
        <v>1103</v>
      </c>
      <c r="F750" t="s">
        <v>1104</v>
      </c>
      <c r="H750" t="s">
        <v>18</v>
      </c>
      <c r="I750" t="s">
        <v>19</v>
      </c>
      <c r="J750">
        <f t="shared" si="15"/>
        <v>100</v>
      </c>
    </row>
    <row r="751" spans="1:10" hidden="1">
      <c r="A751" s="6">
        <v>46178</v>
      </c>
      <c r="B751" t="s">
        <v>283</v>
      </c>
      <c r="C751" t="s">
        <v>162</v>
      </c>
      <c r="D751" t="s">
        <v>176</v>
      </c>
      <c r="E751" t="s">
        <v>935</v>
      </c>
      <c r="F751" t="s">
        <v>1105</v>
      </c>
      <c r="G751" s="6">
        <v>46178</v>
      </c>
      <c r="H751" t="s">
        <v>18</v>
      </c>
      <c r="I751" t="s">
        <v>19</v>
      </c>
      <c r="J751">
        <f>IF(I751="Completed",100,IF(I751="Ongoing",50,IF(I751="For Review",75,IF(I751="Delayed",30,0))))</f>
        <v>100</v>
      </c>
    </row>
    <row r="752" spans="1:10" hidden="1">
      <c r="A752" s="6">
        <v>46179</v>
      </c>
      <c r="B752" t="s">
        <v>242</v>
      </c>
      <c r="C752" t="s">
        <v>339</v>
      </c>
      <c r="D752" t="s">
        <v>179</v>
      </c>
      <c r="E752" t="s">
        <v>503</v>
      </c>
      <c r="F752" t="s">
        <v>1106</v>
      </c>
      <c r="G752" s="6">
        <v>46179</v>
      </c>
      <c r="H752" t="s">
        <v>18</v>
      </c>
      <c r="I752" s="13" t="s">
        <v>19</v>
      </c>
      <c r="J752">
        <f t="shared" si="15"/>
        <v>100</v>
      </c>
    </row>
    <row r="753" spans="1:10" hidden="1">
      <c r="A753" s="6">
        <v>46179</v>
      </c>
      <c r="B753" t="s">
        <v>242</v>
      </c>
      <c r="C753" t="s">
        <v>339</v>
      </c>
      <c r="D753" t="s">
        <v>179</v>
      </c>
      <c r="E753" t="s">
        <v>503</v>
      </c>
      <c r="F753" t="s">
        <v>1107</v>
      </c>
      <c r="G753" s="6">
        <v>46181</v>
      </c>
      <c r="H753" t="s">
        <v>18</v>
      </c>
      <c r="I753" s="13" t="s">
        <v>19</v>
      </c>
      <c r="J753">
        <f t="shared" si="15"/>
        <v>100</v>
      </c>
    </row>
    <row r="754" spans="1:10" hidden="1">
      <c r="A754" s="6">
        <v>46179</v>
      </c>
      <c r="B754" t="s">
        <v>234</v>
      </c>
      <c r="C754" t="s">
        <v>162</v>
      </c>
      <c r="D754" t="s">
        <v>176</v>
      </c>
      <c r="E754" t="s">
        <v>1006</v>
      </c>
      <c r="F754" t="s">
        <v>1108</v>
      </c>
      <c r="G754" s="6">
        <v>46179</v>
      </c>
      <c r="H754" t="s">
        <v>18</v>
      </c>
      <c r="I754" t="s">
        <v>19</v>
      </c>
      <c r="J754">
        <f t="shared" si="15"/>
        <v>100</v>
      </c>
    </row>
    <row r="755" spans="1:10" hidden="1">
      <c r="A755" s="6">
        <v>46179</v>
      </c>
      <c r="B755" t="s">
        <v>234</v>
      </c>
      <c r="C755" t="s">
        <v>162</v>
      </c>
      <c r="D755" t="s">
        <v>176</v>
      </c>
      <c r="E755" t="s">
        <v>1109</v>
      </c>
      <c r="F755" t="s">
        <v>1110</v>
      </c>
      <c r="G755" s="6">
        <v>46179</v>
      </c>
      <c r="H755" t="s">
        <v>18</v>
      </c>
      <c r="I755" t="s">
        <v>19</v>
      </c>
      <c r="J755">
        <f t="shared" si="15"/>
        <v>100</v>
      </c>
    </row>
    <row r="756" spans="1:10" hidden="1">
      <c r="A756" s="6">
        <v>46179</v>
      </c>
      <c r="B756" t="s">
        <v>184</v>
      </c>
      <c r="C756" t="s">
        <v>162</v>
      </c>
      <c r="D756" t="s">
        <v>176</v>
      </c>
      <c r="E756" t="s">
        <v>301</v>
      </c>
      <c r="F756" t="s">
        <v>1111</v>
      </c>
      <c r="G756" s="6">
        <v>46179</v>
      </c>
      <c r="H756" t="s">
        <v>57</v>
      </c>
      <c r="I756" t="s">
        <v>19</v>
      </c>
      <c r="J756">
        <f t="shared" si="15"/>
        <v>100</v>
      </c>
    </row>
    <row r="757" spans="1:10" hidden="1">
      <c r="A757" s="6">
        <v>46179</v>
      </c>
      <c r="B757" t="s">
        <v>184</v>
      </c>
      <c r="C757" t="s">
        <v>162</v>
      </c>
      <c r="D757" t="s">
        <v>176</v>
      </c>
      <c r="E757" t="s">
        <v>1109</v>
      </c>
      <c r="F757" t="s">
        <v>1112</v>
      </c>
      <c r="G757" s="6">
        <v>46179</v>
      </c>
      <c r="H757" t="s">
        <v>18</v>
      </c>
      <c r="I757" t="s">
        <v>19</v>
      </c>
      <c r="J757">
        <f t="shared" si="15"/>
        <v>100</v>
      </c>
    </row>
    <row r="758" spans="1:10" hidden="1">
      <c r="A758" s="6">
        <v>46179</v>
      </c>
      <c r="B758" t="s">
        <v>222</v>
      </c>
      <c r="C758" t="s">
        <v>162</v>
      </c>
      <c r="D758" t="s">
        <v>179</v>
      </c>
      <c r="E758" t="s">
        <v>503</v>
      </c>
      <c r="F758" t="s">
        <v>1113</v>
      </c>
      <c r="G758" s="6">
        <v>46179</v>
      </c>
      <c r="H758" t="s">
        <v>541</v>
      </c>
      <c r="I758" t="s">
        <v>19</v>
      </c>
      <c r="J758">
        <f>IF(I758="Completed",100,IF(I758="Ongoing",50,IF(I758="For Review",75,IF(I758="Delayed",30,0))))</f>
        <v>100</v>
      </c>
    </row>
    <row r="759" spans="1:10" hidden="1">
      <c r="A759" s="6">
        <v>46179</v>
      </c>
      <c r="B759" t="s">
        <v>222</v>
      </c>
      <c r="C759" t="s">
        <v>162</v>
      </c>
      <c r="D759" t="s">
        <v>179</v>
      </c>
      <c r="E759" t="s">
        <v>503</v>
      </c>
      <c r="F759" t="s">
        <v>1114</v>
      </c>
      <c r="G759" s="6">
        <v>46179</v>
      </c>
      <c r="H759" t="s">
        <v>541</v>
      </c>
      <c r="I759" t="s">
        <v>19</v>
      </c>
      <c r="J759">
        <f>IF(I759="Completed",100,IF(I759="Ongoing",50,IF(I759="For Review",75,IF(I759="Delayed",30,0))))</f>
        <v>100</v>
      </c>
    </row>
    <row r="760" spans="1:10" hidden="1">
      <c r="A760" s="6">
        <v>46179</v>
      </c>
      <c r="B760" t="s">
        <v>184</v>
      </c>
      <c r="C760" t="s">
        <v>162</v>
      </c>
      <c r="D760" t="s">
        <v>176</v>
      </c>
      <c r="E760" t="s">
        <v>613</v>
      </c>
      <c r="F760" t="s">
        <v>1115</v>
      </c>
      <c r="G760" s="6">
        <v>46179</v>
      </c>
      <c r="H760" t="s">
        <v>18</v>
      </c>
      <c r="I760" t="s">
        <v>19</v>
      </c>
      <c r="J760">
        <f t="shared" si="15"/>
        <v>100</v>
      </c>
    </row>
    <row r="761" spans="1:10" hidden="1">
      <c r="A761" s="6">
        <v>46179</v>
      </c>
      <c r="B761" t="s">
        <v>708</v>
      </c>
      <c r="C761" t="s">
        <v>162</v>
      </c>
      <c r="D761" t="s">
        <v>176</v>
      </c>
      <c r="E761" t="s">
        <v>1109</v>
      </c>
      <c r="F761" t="s">
        <v>1112</v>
      </c>
      <c r="G761" s="6">
        <v>46179</v>
      </c>
      <c r="H761" t="s">
        <v>18</v>
      </c>
      <c r="I761" t="s">
        <v>19</v>
      </c>
      <c r="J761">
        <f t="shared" si="15"/>
        <v>100</v>
      </c>
    </row>
    <row r="762" spans="1:10" hidden="1">
      <c r="A762" s="6">
        <v>46179</v>
      </c>
      <c r="B762" t="s">
        <v>708</v>
      </c>
      <c r="C762" t="s">
        <v>162</v>
      </c>
      <c r="D762" t="s">
        <v>176</v>
      </c>
      <c r="E762" t="s">
        <v>613</v>
      </c>
      <c r="F762" t="s">
        <v>1115</v>
      </c>
      <c r="G762" s="6">
        <v>46179</v>
      </c>
      <c r="H762" t="s">
        <v>18</v>
      </c>
      <c r="I762" t="s">
        <v>19</v>
      </c>
      <c r="J762">
        <f t="shared" ref="J762:J842" si="20">IF(I762="Completed",100,IF(I762="Ongoing",50,IF(I762="For Review",75,IF(I762="Delayed",30,0))))</f>
        <v>100</v>
      </c>
    </row>
    <row r="763" spans="1:10" ht="15" hidden="1">
      <c r="A763" s="6">
        <v>46179</v>
      </c>
      <c r="B763" s="7" t="s">
        <v>290</v>
      </c>
      <c r="C763" t="s">
        <v>162</v>
      </c>
      <c r="D763" t="s">
        <v>176</v>
      </c>
      <c r="E763" t="s">
        <v>1006</v>
      </c>
      <c r="F763" t="s">
        <v>1108</v>
      </c>
      <c r="G763" s="6">
        <v>46179</v>
      </c>
      <c r="H763" t="s">
        <v>18</v>
      </c>
      <c r="I763" s="13" t="s">
        <v>19</v>
      </c>
      <c r="J763">
        <f t="shared" si="20"/>
        <v>100</v>
      </c>
    </row>
    <row r="764" spans="1:10" hidden="1">
      <c r="A764" s="6">
        <v>46179</v>
      </c>
      <c r="B764" t="s">
        <v>300</v>
      </c>
      <c r="C764" t="s">
        <v>162</v>
      </c>
      <c r="D764" t="s">
        <v>163</v>
      </c>
      <c r="E764" t="s">
        <v>1116</v>
      </c>
      <c r="F764" t="s">
        <v>1114</v>
      </c>
      <c r="G764" s="6">
        <v>46179</v>
      </c>
      <c r="H764" t="s">
        <v>18</v>
      </c>
      <c r="I764" t="s">
        <v>19</v>
      </c>
      <c r="J764">
        <f t="shared" si="20"/>
        <v>100</v>
      </c>
    </row>
    <row r="765" spans="1:10" hidden="1">
      <c r="A765" s="6">
        <v>46179</v>
      </c>
      <c r="B765" t="s">
        <v>536</v>
      </c>
      <c r="C765" t="s">
        <v>162</v>
      </c>
      <c r="D765" t="s">
        <v>176</v>
      </c>
      <c r="E765" t="s">
        <v>301</v>
      </c>
      <c r="F765" t="s">
        <v>1117</v>
      </c>
      <c r="G765" s="6">
        <v>46179</v>
      </c>
      <c r="H765" t="s">
        <v>18</v>
      </c>
      <c r="I765" t="s">
        <v>19</v>
      </c>
      <c r="J765">
        <f t="shared" si="20"/>
        <v>100</v>
      </c>
    </row>
    <row r="766" spans="1:10" hidden="1">
      <c r="A766" s="6">
        <v>46179</v>
      </c>
      <c r="B766" t="s">
        <v>454</v>
      </c>
      <c r="C766" t="s">
        <v>162</v>
      </c>
      <c r="D766" t="s">
        <v>163</v>
      </c>
      <c r="E766" t="s">
        <v>1118</v>
      </c>
      <c r="F766" t="s">
        <v>1119</v>
      </c>
      <c r="G766" s="6">
        <v>46179</v>
      </c>
      <c r="H766" t="s">
        <v>18</v>
      </c>
      <c r="I766" t="s">
        <v>19</v>
      </c>
      <c r="J766">
        <f t="shared" si="20"/>
        <v>100</v>
      </c>
    </row>
    <row r="767" spans="1:10" ht="15" hidden="1">
      <c r="A767" s="6">
        <v>46179</v>
      </c>
      <c r="B767" s="7" t="s">
        <v>768</v>
      </c>
      <c r="C767" t="s">
        <v>162</v>
      </c>
      <c r="D767" t="s">
        <v>166</v>
      </c>
      <c r="E767" t="s">
        <v>1120</v>
      </c>
      <c r="F767" t="s">
        <v>1121</v>
      </c>
      <c r="G767" s="6">
        <v>46179</v>
      </c>
      <c r="H767" t="s">
        <v>18</v>
      </c>
      <c r="I767" t="s">
        <v>19</v>
      </c>
      <c r="J767">
        <f>IF(I767="Completed",100,IF(I767="Ongoing",50,IF(I767="For Review",75,IF(I767="Delayed",30,0))))</f>
        <v>100</v>
      </c>
    </row>
    <row r="768" spans="1:10" ht="15" hidden="1">
      <c r="A768" s="6">
        <v>46179</v>
      </c>
      <c r="B768" s="7" t="s">
        <v>768</v>
      </c>
      <c r="C768" t="s">
        <v>162</v>
      </c>
      <c r="D768" t="s">
        <v>166</v>
      </c>
      <c r="E768" t="s">
        <v>1109</v>
      </c>
      <c r="F768" t="s">
        <v>1112</v>
      </c>
      <c r="G768" s="6">
        <v>46179</v>
      </c>
      <c r="H768" t="s">
        <v>18</v>
      </c>
      <c r="I768" t="s">
        <v>19</v>
      </c>
      <c r="J768">
        <f>IF(I768="Completed",100,IF(I768="Ongoing",50,IF(I768="For Review",75,IF(I768="Delayed",30,0))))</f>
        <v>100</v>
      </c>
    </row>
    <row r="769" spans="1:10" hidden="1">
      <c r="A769" s="6">
        <v>46181</v>
      </c>
      <c r="B769" t="s">
        <v>323</v>
      </c>
      <c r="C769" t="s">
        <v>23</v>
      </c>
      <c r="D769" t="s">
        <v>15</v>
      </c>
      <c r="E769" t="s">
        <v>1016</v>
      </c>
      <c r="F769" t="s">
        <v>1122</v>
      </c>
      <c r="G769" s="6">
        <v>46183</v>
      </c>
      <c r="H769" t="s">
        <v>18</v>
      </c>
      <c r="I769" t="s">
        <v>19</v>
      </c>
      <c r="J769">
        <f t="shared" si="20"/>
        <v>100</v>
      </c>
    </row>
    <row r="770" spans="1:10">
      <c r="A770" s="6">
        <v>46181</v>
      </c>
      <c r="B770" t="s">
        <v>323</v>
      </c>
      <c r="C770" t="s">
        <v>23</v>
      </c>
      <c r="D770" t="s">
        <v>15</v>
      </c>
      <c r="E770" t="s">
        <v>1123</v>
      </c>
      <c r="F770" t="s">
        <v>1124</v>
      </c>
      <c r="G770" s="6">
        <v>46183</v>
      </c>
      <c r="H770" t="s">
        <v>18</v>
      </c>
      <c r="I770" t="s">
        <v>51</v>
      </c>
      <c r="J770">
        <f t="shared" si="20"/>
        <v>50</v>
      </c>
    </row>
    <row r="771" spans="1:10" hidden="1">
      <c r="A771" s="6">
        <v>46181</v>
      </c>
      <c r="B771" t="s">
        <v>260</v>
      </c>
      <c r="C771" t="s">
        <v>162</v>
      </c>
      <c r="D771" t="s">
        <v>340</v>
      </c>
      <c r="E771" t="s">
        <v>1109</v>
      </c>
      <c r="F771" t="s">
        <v>1125</v>
      </c>
      <c r="G771" s="6">
        <v>46181</v>
      </c>
      <c r="H771" t="s">
        <v>18</v>
      </c>
      <c r="I771" t="s">
        <v>19</v>
      </c>
      <c r="J771">
        <f t="shared" si="20"/>
        <v>100</v>
      </c>
    </row>
    <row r="772" spans="1:10" hidden="1">
      <c r="A772" s="6">
        <v>46181</v>
      </c>
      <c r="B772" t="s">
        <v>222</v>
      </c>
      <c r="C772" t="s">
        <v>162</v>
      </c>
      <c r="D772" t="s">
        <v>179</v>
      </c>
      <c r="E772" t="s">
        <v>503</v>
      </c>
      <c r="F772" t="s">
        <v>1125</v>
      </c>
      <c r="G772" s="6">
        <v>46181</v>
      </c>
      <c r="H772" t="s">
        <v>18</v>
      </c>
      <c r="I772" t="s">
        <v>19</v>
      </c>
      <c r="J772">
        <f>IF(I772="Completed",100,IF(I772="Ongoing",50,IF(I772="For Review",75,IF(I772="Delayed",30,0))))</f>
        <v>100</v>
      </c>
    </row>
    <row r="773" spans="1:10">
      <c r="A773" s="6">
        <v>46181</v>
      </c>
      <c r="B773" t="s">
        <v>222</v>
      </c>
      <c r="C773" t="s">
        <v>162</v>
      </c>
      <c r="D773" t="s">
        <v>179</v>
      </c>
      <c r="E773" t="s">
        <v>1126</v>
      </c>
      <c r="F773" t="s">
        <v>1125</v>
      </c>
      <c r="G773" s="6">
        <v>46181</v>
      </c>
      <c r="H773" t="s">
        <v>18</v>
      </c>
      <c r="I773" t="s">
        <v>51</v>
      </c>
      <c r="J773">
        <f t="shared" si="20"/>
        <v>50</v>
      </c>
    </row>
    <row r="774" spans="1:10">
      <c r="A774" s="6">
        <v>46181</v>
      </c>
      <c r="B774" t="s">
        <v>716</v>
      </c>
      <c r="C774" t="s">
        <v>136</v>
      </c>
      <c r="D774" t="s">
        <v>15</v>
      </c>
      <c r="E774" t="s">
        <v>32</v>
      </c>
      <c r="F774" t="s">
        <v>1127</v>
      </c>
      <c r="G774" s="6">
        <v>46179</v>
      </c>
      <c r="I774" t="s">
        <v>51</v>
      </c>
      <c r="J774">
        <f t="shared" si="20"/>
        <v>50</v>
      </c>
    </row>
    <row r="775" spans="1:10" hidden="1">
      <c r="A775" s="6">
        <v>46181</v>
      </c>
      <c r="B775" t="s">
        <v>156</v>
      </c>
      <c r="C775" t="s">
        <v>1128</v>
      </c>
      <c r="D775" t="s">
        <v>15</v>
      </c>
      <c r="E775" t="s">
        <v>82</v>
      </c>
      <c r="F775" t="s">
        <v>863</v>
      </c>
      <c r="G775" s="6">
        <v>46175</v>
      </c>
      <c r="H775" t="s">
        <v>18</v>
      </c>
      <c r="I775" t="s">
        <v>19</v>
      </c>
      <c r="J775">
        <f t="shared" si="20"/>
        <v>100</v>
      </c>
    </row>
    <row r="776" spans="1:10" hidden="1">
      <c r="A776" s="6">
        <v>46181</v>
      </c>
      <c r="B776" t="s">
        <v>1129</v>
      </c>
      <c r="C776" t="s">
        <v>162</v>
      </c>
      <c r="D776" t="s">
        <v>163</v>
      </c>
      <c r="E776" t="s">
        <v>1118</v>
      </c>
      <c r="F776" t="s">
        <v>1130</v>
      </c>
      <c r="G776" s="6">
        <v>46181</v>
      </c>
      <c r="H776" t="s">
        <v>18</v>
      </c>
      <c r="I776" t="s">
        <v>539</v>
      </c>
      <c r="J776">
        <f t="shared" si="20"/>
        <v>100</v>
      </c>
    </row>
    <row r="777" spans="1:10">
      <c r="A777" s="6">
        <v>46181</v>
      </c>
      <c r="B777" t="s">
        <v>156</v>
      </c>
      <c r="C777" t="s">
        <v>1128</v>
      </c>
      <c r="D777" t="s">
        <v>15</v>
      </c>
      <c r="E777" t="s">
        <v>409</v>
      </c>
      <c r="F777" t="s">
        <v>926</v>
      </c>
      <c r="G777" s="6">
        <v>46181</v>
      </c>
      <c r="H777" t="s">
        <v>18</v>
      </c>
      <c r="I777" t="s">
        <v>51</v>
      </c>
      <c r="J777">
        <f t="shared" si="20"/>
        <v>50</v>
      </c>
    </row>
    <row r="778" spans="1:10">
      <c r="A778" s="6">
        <v>46181</v>
      </c>
      <c r="B778" t="s">
        <v>135</v>
      </c>
      <c r="C778" t="s">
        <v>136</v>
      </c>
      <c r="D778" t="s">
        <v>15</v>
      </c>
      <c r="E778" t="s">
        <v>32</v>
      </c>
      <c r="F778" t="s">
        <v>1131</v>
      </c>
      <c r="G778" s="6">
        <v>46181</v>
      </c>
      <c r="J778">
        <f t="shared" si="20"/>
        <v>0</v>
      </c>
    </row>
    <row r="779" spans="1:10">
      <c r="A779" s="6">
        <v>46181</v>
      </c>
      <c r="B779" t="s">
        <v>424</v>
      </c>
      <c r="C779" t="s">
        <v>1132</v>
      </c>
      <c r="D779" t="s">
        <v>176</v>
      </c>
      <c r="E779" t="s">
        <v>1133</v>
      </c>
      <c r="F779" t="s">
        <v>1134</v>
      </c>
      <c r="G779" s="6">
        <v>46181</v>
      </c>
      <c r="H779" t="s">
        <v>552</v>
      </c>
      <c r="I779" t="s">
        <v>550</v>
      </c>
      <c r="J779">
        <f t="shared" si="20"/>
        <v>50</v>
      </c>
    </row>
    <row r="780" spans="1:10" hidden="1">
      <c r="A780" s="6">
        <v>46181</v>
      </c>
      <c r="B780" t="s">
        <v>1135</v>
      </c>
      <c r="C780" t="s">
        <v>162</v>
      </c>
      <c r="D780" t="s">
        <v>176</v>
      </c>
      <c r="E780" t="s">
        <v>1133</v>
      </c>
      <c r="F780" t="s">
        <v>1134</v>
      </c>
      <c r="G780" s="6">
        <v>46181</v>
      </c>
      <c r="H780" t="s">
        <v>57</v>
      </c>
      <c r="I780" t="s">
        <v>19</v>
      </c>
      <c r="J780">
        <f t="shared" si="20"/>
        <v>100</v>
      </c>
    </row>
    <row r="781" spans="1:10" hidden="1">
      <c r="A781" s="6">
        <v>46181</v>
      </c>
      <c r="B781" t="s">
        <v>107</v>
      </c>
      <c r="C781" t="s">
        <v>108</v>
      </c>
      <c r="D781" t="s">
        <v>498</v>
      </c>
      <c r="E781" t="s">
        <v>131</v>
      </c>
      <c r="F781" t="s">
        <v>1136</v>
      </c>
      <c r="G781" s="6">
        <v>46193</v>
      </c>
      <c r="H781" t="s">
        <v>541</v>
      </c>
      <c r="I781" t="s">
        <v>19</v>
      </c>
      <c r="J781">
        <f t="shared" si="20"/>
        <v>100</v>
      </c>
    </row>
    <row r="782" spans="1:10" hidden="1">
      <c r="A782" s="6">
        <v>46181</v>
      </c>
      <c r="B782" t="s">
        <v>107</v>
      </c>
      <c r="C782" t="s">
        <v>108</v>
      </c>
      <c r="D782" t="s">
        <v>498</v>
      </c>
      <c r="E782" t="s">
        <v>131</v>
      </c>
      <c r="F782" t="s">
        <v>1137</v>
      </c>
      <c r="G782" s="6">
        <v>46193</v>
      </c>
      <c r="H782" t="s">
        <v>541</v>
      </c>
      <c r="I782" t="s">
        <v>19</v>
      </c>
      <c r="J782">
        <f t="shared" si="20"/>
        <v>100</v>
      </c>
    </row>
    <row r="783" spans="1:10">
      <c r="A783" s="6">
        <v>46181</v>
      </c>
      <c r="B783" t="s">
        <v>107</v>
      </c>
      <c r="C783" t="s">
        <v>108</v>
      </c>
      <c r="D783" t="s">
        <v>498</v>
      </c>
      <c r="E783" t="s">
        <v>127</v>
      </c>
      <c r="F783" t="s">
        <v>1138</v>
      </c>
      <c r="H783" t="s">
        <v>541</v>
      </c>
      <c r="I783" t="s">
        <v>550</v>
      </c>
      <c r="J783">
        <f t="shared" si="20"/>
        <v>50</v>
      </c>
    </row>
    <row r="784" spans="1:10" hidden="1">
      <c r="A784" s="6">
        <v>46181</v>
      </c>
      <c r="B784" t="s">
        <v>107</v>
      </c>
      <c r="C784" t="s">
        <v>108</v>
      </c>
      <c r="D784" t="s">
        <v>498</v>
      </c>
      <c r="E784" t="s">
        <v>1139</v>
      </c>
      <c r="F784" t="s">
        <v>1140</v>
      </c>
      <c r="G784" s="6">
        <v>46181</v>
      </c>
      <c r="H784" t="s">
        <v>541</v>
      </c>
      <c r="I784" t="s">
        <v>539</v>
      </c>
      <c r="J784">
        <f t="shared" si="20"/>
        <v>100</v>
      </c>
    </row>
    <row r="785" spans="1:10" hidden="1">
      <c r="A785" s="6">
        <v>46181</v>
      </c>
      <c r="B785" t="s">
        <v>107</v>
      </c>
      <c r="C785" t="s">
        <v>108</v>
      </c>
      <c r="D785" t="s">
        <v>498</v>
      </c>
      <c r="E785" t="s">
        <v>1141</v>
      </c>
      <c r="F785" t="s">
        <v>1142</v>
      </c>
      <c r="I785" t="s">
        <v>539</v>
      </c>
      <c r="J785">
        <f t="shared" si="20"/>
        <v>100</v>
      </c>
    </row>
    <row r="786" spans="1:10">
      <c r="A786" s="6">
        <v>46181</v>
      </c>
      <c r="B786" t="s">
        <v>107</v>
      </c>
      <c r="C786" t="s">
        <v>108</v>
      </c>
      <c r="D786" t="s">
        <v>498</v>
      </c>
      <c r="E786" t="s">
        <v>1143</v>
      </c>
      <c r="F786" t="s">
        <v>1144</v>
      </c>
      <c r="H786" t="s">
        <v>541</v>
      </c>
      <c r="I786" t="s">
        <v>550</v>
      </c>
      <c r="J786">
        <f t="shared" si="20"/>
        <v>50</v>
      </c>
    </row>
    <row r="787" spans="1:10" hidden="1">
      <c r="A787" s="6">
        <v>46181</v>
      </c>
      <c r="B787" t="s">
        <v>283</v>
      </c>
      <c r="C787" t="s">
        <v>162</v>
      </c>
      <c r="D787" t="s">
        <v>176</v>
      </c>
      <c r="E787" t="s">
        <v>571</v>
      </c>
      <c r="F787" t="s">
        <v>1145</v>
      </c>
      <c r="G787" s="6">
        <v>46181</v>
      </c>
      <c r="H787" t="s">
        <v>520</v>
      </c>
      <c r="I787" t="s">
        <v>539</v>
      </c>
      <c r="J787">
        <f t="shared" si="20"/>
        <v>100</v>
      </c>
    </row>
    <row r="788" spans="1:10" hidden="1">
      <c r="A788" s="6">
        <v>46181</v>
      </c>
      <c r="B788" t="s">
        <v>283</v>
      </c>
      <c r="C788" t="s">
        <v>162</v>
      </c>
      <c r="D788" t="s">
        <v>176</v>
      </c>
      <c r="E788" t="s">
        <v>1146</v>
      </c>
      <c r="F788" t="s">
        <v>1147</v>
      </c>
      <c r="G788" s="6">
        <v>46181</v>
      </c>
      <c r="H788" t="s">
        <v>18</v>
      </c>
      <c r="I788" t="s">
        <v>539</v>
      </c>
      <c r="J788">
        <f t="shared" si="20"/>
        <v>100</v>
      </c>
    </row>
    <row r="789" spans="1:10" hidden="1">
      <c r="A789" s="6">
        <v>46181</v>
      </c>
      <c r="B789" t="s">
        <v>1148</v>
      </c>
      <c r="C789" t="s">
        <v>162</v>
      </c>
      <c r="D789" t="s">
        <v>176</v>
      </c>
      <c r="E789" t="s">
        <v>1149</v>
      </c>
      <c r="F789" t="s">
        <v>1150</v>
      </c>
      <c r="G789" s="6">
        <v>46181</v>
      </c>
      <c r="H789" t="s">
        <v>520</v>
      </c>
      <c r="I789" t="s">
        <v>539</v>
      </c>
      <c r="J789">
        <f t="shared" si="20"/>
        <v>100</v>
      </c>
    </row>
    <row r="790" spans="1:10" hidden="1">
      <c r="A790" s="6">
        <v>46181</v>
      </c>
      <c r="B790" t="s">
        <v>178</v>
      </c>
      <c r="C790" t="s">
        <v>162</v>
      </c>
      <c r="D790" t="s">
        <v>179</v>
      </c>
      <c r="E790" t="s">
        <v>1146</v>
      </c>
      <c r="F790" t="s">
        <v>1151</v>
      </c>
      <c r="G790" s="6">
        <v>46181</v>
      </c>
      <c r="H790" t="s">
        <v>520</v>
      </c>
      <c r="I790" t="s">
        <v>539</v>
      </c>
      <c r="J790">
        <f t="shared" si="20"/>
        <v>100</v>
      </c>
    </row>
    <row r="791" spans="1:10" hidden="1">
      <c r="A791" s="6">
        <v>46181</v>
      </c>
      <c r="B791" t="s">
        <v>178</v>
      </c>
      <c r="C791" t="s">
        <v>162</v>
      </c>
      <c r="D791" t="s">
        <v>179</v>
      </c>
      <c r="E791" t="s">
        <v>717</v>
      </c>
      <c r="F791" t="s">
        <v>764</v>
      </c>
      <c r="G791" s="6">
        <v>46181</v>
      </c>
      <c r="H791" t="s">
        <v>520</v>
      </c>
      <c r="I791" t="s">
        <v>539</v>
      </c>
      <c r="J791">
        <f t="shared" si="20"/>
        <v>100</v>
      </c>
    </row>
    <row r="792" spans="1:10" hidden="1">
      <c r="A792" s="6">
        <v>46181</v>
      </c>
      <c r="B792" t="s">
        <v>165</v>
      </c>
      <c r="C792" t="s">
        <v>162</v>
      </c>
      <c r="D792" t="s">
        <v>166</v>
      </c>
      <c r="E792" t="s">
        <v>445</v>
      </c>
      <c r="F792" t="s">
        <v>1152</v>
      </c>
      <c r="G792" s="6">
        <v>46181</v>
      </c>
      <c r="H792" t="s">
        <v>541</v>
      </c>
      <c r="I792" t="s">
        <v>539</v>
      </c>
      <c r="J792">
        <f t="shared" si="20"/>
        <v>100</v>
      </c>
    </row>
    <row r="793" spans="1:10" hidden="1">
      <c r="A793" s="6">
        <v>46181</v>
      </c>
      <c r="B793" t="s">
        <v>165</v>
      </c>
      <c r="C793" t="s">
        <v>162</v>
      </c>
      <c r="D793" t="s">
        <v>166</v>
      </c>
      <c r="E793" t="s">
        <v>445</v>
      </c>
      <c r="F793" t="s">
        <v>1153</v>
      </c>
      <c r="G793" s="6">
        <v>46181</v>
      </c>
      <c r="H793" t="s">
        <v>541</v>
      </c>
      <c r="I793" t="s">
        <v>539</v>
      </c>
      <c r="J793">
        <f t="shared" si="20"/>
        <v>100</v>
      </c>
    </row>
    <row r="794" spans="1:10" hidden="1">
      <c r="A794" s="6">
        <v>46181</v>
      </c>
      <c r="B794" t="s">
        <v>165</v>
      </c>
      <c r="C794" t="s">
        <v>162</v>
      </c>
      <c r="D794" t="s">
        <v>166</v>
      </c>
      <c r="E794" t="s">
        <v>1154</v>
      </c>
      <c r="F794" t="s">
        <v>1155</v>
      </c>
      <c r="G794" s="6">
        <v>46181</v>
      </c>
      <c r="H794" t="s">
        <v>1156</v>
      </c>
      <c r="I794" t="s">
        <v>19</v>
      </c>
      <c r="J794">
        <f t="shared" si="20"/>
        <v>100</v>
      </c>
    </row>
    <row r="795" spans="1:10" hidden="1">
      <c r="A795" s="6">
        <v>46181</v>
      </c>
      <c r="B795" t="s">
        <v>234</v>
      </c>
      <c r="C795" t="s">
        <v>162</v>
      </c>
      <c r="D795" t="s">
        <v>176</v>
      </c>
      <c r="E795" t="s">
        <v>571</v>
      </c>
      <c r="F795" t="s">
        <v>1157</v>
      </c>
      <c r="G795" s="6">
        <v>46181</v>
      </c>
      <c r="H795" t="s">
        <v>18</v>
      </c>
      <c r="I795" t="s">
        <v>19</v>
      </c>
      <c r="J795">
        <f>IF(I795="Completed",100,IF(I795="Ongoing",50,IF(I795="For Review",75,IF(I795="Delayed",30,0))))</f>
        <v>100</v>
      </c>
    </row>
    <row r="796" spans="1:10" ht="15" hidden="1">
      <c r="A796" s="6">
        <v>46181</v>
      </c>
      <c r="B796" s="7" t="s">
        <v>768</v>
      </c>
      <c r="C796" t="s">
        <v>162</v>
      </c>
      <c r="D796" t="s">
        <v>166</v>
      </c>
      <c r="E796" t="s">
        <v>571</v>
      </c>
      <c r="F796" t="s">
        <v>1157</v>
      </c>
      <c r="G796" s="6">
        <v>46181</v>
      </c>
      <c r="H796" t="s">
        <v>18</v>
      </c>
      <c r="I796" t="s">
        <v>539</v>
      </c>
      <c r="J796">
        <f>IF(I796="Completed",100,IF(I796="Ongoing",50,IF(I796="For Review",75,IF(I796="Delayed",30,0))))</f>
        <v>100</v>
      </c>
    </row>
    <row r="797" spans="1:10" ht="15" hidden="1">
      <c r="A797" s="6">
        <v>46181</v>
      </c>
      <c r="B797" s="7" t="s">
        <v>186</v>
      </c>
      <c r="C797" t="s">
        <v>162</v>
      </c>
      <c r="D797" t="s">
        <v>166</v>
      </c>
      <c r="E797" t="s">
        <v>613</v>
      </c>
      <c r="F797" t="s">
        <v>648</v>
      </c>
      <c r="G797" s="6">
        <v>46181</v>
      </c>
      <c r="H797" t="s">
        <v>18</v>
      </c>
      <c r="I797" t="s">
        <v>19</v>
      </c>
      <c r="J797">
        <f>IF(I797="Completed",100,IF(I797="Ongoing",50,IF(I797="For Review",75,IF(I797="Delayed",30,0))))</f>
        <v>100</v>
      </c>
    </row>
    <row r="798" spans="1:10">
      <c r="A798" s="6">
        <v>46182</v>
      </c>
      <c r="B798" t="s">
        <v>178</v>
      </c>
      <c r="C798" t="s">
        <v>162</v>
      </c>
      <c r="D798" t="s">
        <v>179</v>
      </c>
      <c r="E798" t="s">
        <v>445</v>
      </c>
      <c r="F798" t="s">
        <v>1152</v>
      </c>
      <c r="G798" s="6">
        <v>46182</v>
      </c>
      <c r="H798" t="s">
        <v>541</v>
      </c>
      <c r="I798" t="s">
        <v>51</v>
      </c>
      <c r="J798">
        <f t="shared" si="20"/>
        <v>50</v>
      </c>
    </row>
    <row r="799" spans="1:10">
      <c r="A799" s="6">
        <v>46182</v>
      </c>
      <c r="B799" t="s">
        <v>178</v>
      </c>
      <c r="C799" t="s">
        <v>162</v>
      </c>
      <c r="D799" t="s">
        <v>179</v>
      </c>
      <c r="E799" t="s">
        <v>717</v>
      </c>
      <c r="F799" t="s">
        <v>764</v>
      </c>
      <c r="G799" s="6">
        <v>46182</v>
      </c>
      <c r="H799" t="s">
        <v>520</v>
      </c>
      <c r="I799" t="s">
        <v>51</v>
      </c>
      <c r="J799">
        <f t="shared" si="20"/>
        <v>50</v>
      </c>
    </row>
    <row r="800" spans="1:10" hidden="1">
      <c r="A800" s="6">
        <v>46182</v>
      </c>
      <c r="B800" t="s">
        <v>283</v>
      </c>
      <c r="C800" t="s">
        <v>162</v>
      </c>
      <c r="D800" t="s">
        <v>176</v>
      </c>
      <c r="E800" t="s">
        <v>613</v>
      </c>
      <c r="F800" t="s">
        <v>1158</v>
      </c>
      <c r="G800" s="6">
        <v>46182</v>
      </c>
      <c r="H800" t="s">
        <v>520</v>
      </c>
      <c r="I800" t="s">
        <v>539</v>
      </c>
      <c r="J800">
        <f t="shared" si="20"/>
        <v>100</v>
      </c>
    </row>
    <row r="801" spans="1:10">
      <c r="A801" s="6">
        <v>46182</v>
      </c>
      <c r="B801" t="s">
        <v>222</v>
      </c>
      <c r="C801" t="s">
        <v>162</v>
      </c>
      <c r="D801" t="s">
        <v>179</v>
      </c>
      <c r="E801" t="s">
        <v>1133</v>
      </c>
      <c r="F801" t="s">
        <v>1134</v>
      </c>
      <c r="G801" s="6">
        <v>46182</v>
      </c>
      <c r="H801" t="s">
        <v>541</v>
      </c>
      <c r="I801" t="s">
        <v>550</v>
      </c>
      <c r="J801">
        <f t="shared" si="20"/>
        <v>50</v>
      </c>
    </row>
    <row r="802" spans="1:10">
      <c r="A802" s="6">
        <v>46182</v>
      </c>
      <c r="B802" t="s">
        <v>107</v>
      </c>
      <c r="C802" t="s">
        <v>108</v>
      </c>
      <c r="D802" t="s">
        <v>498</v>
      </c>
      <c r="E802" t="s">
        <v>127</v>
      </c>
      <c r="F802" t="s">
        <v>1136</v>
      </c>
      <c r="H802" t="s">
        <v>541</v>
      </c>
      <c r="I802" t="s">
        <v>550</v>
      </c>
      <c r="J802">
        <f t="shared" si="20"/>
        <v>50</v>
      </c>
    </row>
    <row r="803" spans="1:10">
      <c r="A803" s="6">
        <v>46182</v>
      </c>
      <c r="B803" t="s">
        <v>107</v>
      </c>
      <c r="C803" t="s">
        <v>108</v>
      </c>
      <c r="D803" t="s">
        <v>498</v>
      </c>
      <c r="E803" t="s">
        <v>127</v>
      </c>
      <c r="F803" t="s">
        <v>1137</v>
      </c>
      <c r="H803" t="s">
        <v>541</v>
      </c>
      <c r="I803" t="s">
        <v>51</v>
      </c>
      <c r="J803">
        <f t="shared" si="20"/>
        <v>50</v>
      </c>
    </row>
    <row r="804" spans="1:10" hidden="1">
      <c r="A804" s="6">
        <v>46182</v>
      </c>
      <c r="B804" t="s">
        <v>165</v>
      </c>
      <c r="C804" t="s">
        <v>162</v>
      </c>
      <c r="D804" t="s">
        <v>166</v>
      </c>
      <c r="E804" t="s">
        <v>82</v>
      </c>
      <c r="F804" t="s">
        <v>1159</v>
      </c>
      <c r="G804" s="6">
        <v>46182</v>
      </c>
      <c r="H804" t="s">
        <v>552</v>
      </c>
      <c r="I804" t="s">
        <v>539</v>
      </c>
      <c r="J804">
        <f>IF(I804="Completed",100,IF(I804="Ongoing",50,IF(I804="For Review",75,IF(I804="Delayed",30,0))))</f>
        <v>100</v>
      </c>
    </row>
    <row r="805" spans="1:10" hidden="1">
      <c r="A805" s="6">
        <v>46182</v>
      </c>
      <c r="B805" t="s">
        <v>165</v>
      </c>
      <c r="C805" t="s">
        <v>162</v>
      </c>
      <c r="D805" t="s">
        <v>166</v>
      </c>
      <c r="E805" t="s">
        <v>1160</v>
      </c>
      <c r="F805" t="s">
        <v>1134</v>
      </c>
      <c r="G805" s="6">
        <v>46182</v>
      </c>
      <c r="H805" t="s">
        <v>541</v>
      </c>
      <c r="I805" t="s">
        <v>539</v>
      </c>
      <c r="J805">
        <f t="shared" si="20"/>
        <v>100</v>
      </c>
    </row>
    <row r="806" spans="1:10" hidden="1">
      <c r="A806" s="6">
        <v>46182</v>
      </c>
      <c r="B806" t="s">
        <v>838</v>
      </c>
      <c r="C806" t="s">
        <v>162</v>
      </c>
      <c r="D806" t="s">
        <v>176</v>
      </c>
      <c r="E806" t="s">
        <v>1160</v>
      </c>
      <c r="F806" t="s">
        <v>1161</v>
      </c>
      <c r="G806" s="6">
        <v>46182</v>
      </c>
      <c r="H806" t="s">
        <v>57</v>
      </c>
      <c r="I806" t="s">
        <v>19</v>
      </c>
      <c r="J806">
        <f t="shared" si="20"/>
        <v>100</v>
      </c>
    </row>
    <row r="807" spans="1:10" hidden="1">
      <c r="A807" s="6">
        <v>46182</v>
      </c>
      <c r="B807" t="s">
        <v>838</v>
      </c>
      <c r="C807" t="s">
        <v>162</v>
      </c>
      <c r="D807" t="s">
        <v>176</v>
      </c>
      <c r="E807" t="s">
        <v>1126</v>
      </c>
      <c r="F807" t="s">
        <v>1162</v>
      </c>
      <c r="G807" s="6">
        <v>46182</v>
      </c>
      <c r="H807" t="s">
        <v>57</v>
      </c>
      <c r="I807" t="s">
        <v>19</v>
      </c>
      <c r="J807">
        <f t="shared" si="20"/>
        <v>100</v>
      </c>
    </row>
    <row r="808" spans="1:10" hidden="1">
      <c r="A808" s="6">
        <v>46182</v>
      </c>
      <c r="B808" t="s">
        <v>838</v>
      </c>
      <c r="C808" t="s">
        <v>162</v>
      </c>
      <c r="D808" t="s">
        <v>176</v>
      </c>
      <c r="E808" t="s">
        <v>1163</v>
      </c>
      <c r="F808" t="s">
        <v>1164</v>
      </c>
      <c r="G808" s="6">
        <v>46182</v>
      </c>
      <c r="H808" t="s">
        <v>57</v>
      </c>
      <c r="I808" t="s">
        <v>19</v>
      </c>
      <c r="J808">
        <f t="shared" si="20"/>
        <v>100</v>
      </c>
    </row>
    <row r="809" spans="1:10" hidden="1">
      <c r="A809" s="6">
        <v>46182</v>
      </c>
      <c r="B809" t="s">
        <v>454</v>
      </c>
      <c r="C809" t="s">
        <v>162</v>
      </c>
      <c r="D809" t="s">
        <v>163</v>
      </c>
      <c r="E809" t="s">
        <v>613</v>
      </c>
      <c r="F809" t="s">
        <v>1165</v>
      </c>
      <c r="G809" s="6">
        <v>46182</v>
      </c>
      <c r="H809" t="s">
        <v>18</v>
      </c>
      <c r="I809" t="s">
        <v>19</v>
      </c>
      <c r="J809">
        <f t="shared" si="20"/>
        <v>100</v>
      </c>
    </row>
    <row r="810" spans="1:10" hidden="1">
      <c r="A810" s="6">
        <v>46182</v>
      </c>
      <c r="B810" t="s">
        <v>170</v>
      </c>
      <c r="C810" t="s">
        <v>171</v>
      </c>
      <c r="D810" t="s">
        <v>758</v>
      </c>
      <c r="E810" t="s">
        <v>501</v>
      </c>
      <c r="F810" t="s">
        <v>1166</v>
      </c>
      <c r="G810" s="6">
        <v>46192</v>
      </c>
      <c r="H810" t="s">
        <v>57</v>
      </c>
      <c r="I810" t="s">
        <v>19</v>
      </c>
      <c r="J810">
        <f>IF(I810="Completed",100,IF(I810="Ongoing",50,IF(I810="For Review",75,IF(I810="Delayed",30,0))))</f>
        <v>100</v>
      </c>
    </row>
    <row r="811" spans="1:10" hidden="1">
      <c r="A811" s="6">
        <v>46182</v>
      </c>
      <c r="B811" t="s">
        <v>170</v>
      </c>
      <c r="C811" t="s">
        <v>171</v>
      </c>
      <c r="D811" t="s">
        <v>15</v>
      </c>
      <c r="E811" t="s">
        <v>362</v>
      </c>
      <c r="F811" t="s">
        <v>862</v>
      </c>
      <c r="G811" s="6">
        <v>46182</v>
      </c>
      <c r="H811" t="s">
        <v>18</v>
      </c>
      <c r="I811" t="s">
        <v>19</v>
      </c>
      <c r="J811">
        <f>IF(I811="Completed",100,IF(I811="Ongoing",50,IF(I811="For Review",75,IF(I811="Delayed",30,0))))</f>
        <v>100</v>
      </c>
    </row>
    <row r="812" spans="1:10" hidden="1">
      <c r="A812" s="6">
        <v>46182</v>
      </c>
      <c r="B812" t="s">
        <v>170</v>
      </c>
      <c r="C812" t="s">
        <v>171</v>
      </c>
      <c r="D812" t="s">
        <v>15</v>
      </c>
      <c r="E812" t="s">
        <v>237</v>
      </c>
      <c r="F812" t="s">
        <v>1167</v>
      </c>
      <c r="G812" s="6">
        <v>46182</v>
      </c>
      <c r="H812" t="s">
        <v>18</v>
      </c>
      <c r="I812" t="s">
        <v>19</v>
      </c>
      <c r="J812">
        <f>IF(I812="Completed",100,IF(I812="Ongoing",50,IF(I812="For Review",75,IF(I812="Delayed",30,0))))</f>
        <v>100</v>
      </c>
    </row>
    <row r="813" spans="1:10" hidden="1">
      <c r="A813" s="6">
        <v>46182</v>
      </c>
      <c r="B813" t="s">
        <v>170</v>
      </c>
      <c r="C813" t="s">
        <v>171</v>
      </c>
      <c r="D813" t="s">
        <v>15</v>
      </c>
      <c r="E813" t="s">
        <v>237</v>
      </c>
      <c r="F813" t="s">
        <v>1168</v>
      </c>
      <c r="G813" s="6">
        <v>46182</v>
      </c>
      <c r="H813" t="s">
        <v>18</v>
      </c>
      <c r="I813" t="s">
        <v>19</v>
      </c>
      <c r="J813">
        <f>IF(I813="Completed",100,IF(I813="Ongoing",50,IF(I813="For Review",75,IF(I813="Delayed",30,0))))</f>
        <v>100</v>
      </c>
    </row>
    <row r="814" spans="1:10" hidden="1">
      <c r="A814" s="6">
        <v>46182</v>
      </c>
      <c r="B814" t="s">
        <v>170</v>
      </c>
      <c r="C814" t="s">
        <v>171</v>
      </c>
      <c r="D814" t="s">
        <v>15</v>
      </c>
      <c r="E814" t="s">
        <v>237</v>
      </c>
      <c r="F814" t="s">
        <v>282</v>
      </c>
      <c r="G814" s="6">
        <v>46182</v>
      </c>
      <c r="H814" t="s">
        <v>18</v>
      </c>
      <c r="I814" t="s">
        <v>19</v>
      </c>
      <c r="J814">
        <f t="shared" si="20"/>
        <v>100</v>
      </c>
    </row>
    <row r="815" spans="1:10" hidden="1">
      <c r="A815" s="6">
        <v>46182</v>
      </c>
      <c r="B815" t="s">
        <v>835</v>
      </c>
      <c r="C815" t="s">
        <v>162</v>
      </c>
      <c r="D815" t="s">
        <v>340</v>
      </c>
      <c r="E815" t="s">
        <v>613</v>
      </c>
      <c r="F815" t="s">
        <v>1169</v>
      </c>
      <c r="G815" s="6">
        <v>46182</v>
      </c>
      <c r="H815" t="s">
        <v>18</v>
      </c>
      <c r="I815" t="s">
        <v>19</v>
      </c>
      <c r="J815">
        <f t="shared" si="20"/>
        <v>100</v>
      </c>
    </row>
    <row r="816" spans="1:10" hidden="1">
      <c r="A816" s="6">
        <v>46182</v>
      </c>
      <c r="B816" t="s">
        <v>234</v>
      </c>
      <c r="C816" t="s">
        <v>162</v>
      </c>
      <c r="D816" t="s">
        <v>176</v>
      </c>
      <c r="E816" t="s">
        <v>1170</v>
      </c>
      <c r="F816" t="s">
        <v>1171</v>
      </c>
      <c r="G816" s="6">
        <v>46182</v>
      </c>
      <c r="H816" t="s">
        <v>18</v>
      </c>
      <c r="I816" t="s">
        <v>19</v>
      </c>
      <c r="J816">
        <f>IF(I816="Completed",100,IF(I816="Ongoing",50,IF(I816="For Review",75,IF(I816="Delayed",30,0))))</f>
        <v>100</v>
      </c>
    </row>
    <row r="817" spans="1:10" hidden="1">
      <c r="A817" s="6">
        <v>46182</v>
      </c>
      <c r="B817" t="s">
        <v>234</v>
      </c>
      <c r="C817" t="s">
        <v>162</v>
      </c>
      <c r="D817" t="s">
        <v>176</v>
      </c>
      <c r="E817" t="s">
        <v>613</v>
      </c>
      <c r="F817" t="s">
        <v>1172</v>
      </c>
      <c r="G817" s="6">
        <v>46182</v>
      </c>
      <c r="H817" t="s">
        <v>18</v>
      </c>
      <c r="I817" t="s">
        <v>19</v>
      </c>
      <c r="J817">
        <f t="shared" si="20"/>
        <v>100</v>
      </c>
    </row>
    <row r="818" spans="1:10" hidden="1">
      <c r="A818" s="6">
        <v>46182</v>
      </c>
      <c r="B818" t="s">
        <v>234</v>
      </c>
      <c r="C818" t="s">
        <v>162</v>
      </c>
      <c r="D818" t="s">
        <v>176</v>
      </c>
      <c r="E818" t="s">
        <v>1173</v>
      </c>
      <c r="F818" t="s">
        <v>1171</v>
      </c>
      <c r="G818" s="6">
        <v>46182</v>
      </c>
      <c r="H818" t="s">
        <v>18</v>
      </c>
      <c r="I818" t="s">
        <v>19</v>
      </c>
      <c r="J818">
        <f t="shared" si="20"/>
        <v>100</v>
      </c>
    </row>
    <row r="819" spans="1:10" ht="15" hidden="1">
      <c r="A819" s="6">
        <v>46182</v>
      </c>
      <c r="B819" s="7" t="s">
        <v>768</v>
      </c>
      <c r="C819" t="s">
        <v>162</v>
      </c>
      <c r="D819" t="s">
        <v>166</v>
      </c>
      <c r="E819" t="s">
        <v>613</v>
      </c>
      <c r="F819" t="s">
        <v>1171</v>
      </c>
      <c r="G819" s="6">
        <v>46182</v>
      </c>
      <c r="H819" t="s">
        <v>18</v>
      </c>
      <c r="I819" t="s">
        <v>19</v>
      </c>
      <c r="J819">
        <f t="shared" si="20"/>
        <v>100</v>
      </c>
    </row>
    <row r="820" spans="1:10" ht="15" hidden="1">
      <c r="A820" s="6">
        <v>46182</v>
      </c>
      <c r="B820" s="7" t="s">
        <v>186</v>
      </c>
      <c r="C820" t="s">
        <v>162</v>
      </c>
      <c r="D820" t="s">
        <v>166</v>
      </c>
      <c r="E820" t="s">
        <v>609</v>
      </c>
      <c r="F820" t="s">
        <v>1174</v>
      </c>
      <c r="G820" s="6">
        <v>46182</v>
      </c>
      <c r="H820" t="s">
        <v>18</v>
      </c>
      <c r="I820" t="s">
        <v>19</v>
      </c>
      <c r="J820">
        <f>IF(I820="Completed",100,IF(I820="Ongoing",50,IF(I820="For Review",75,IF(I820="Delayed",30,0))))</f>
        <v>100</v>
      </c>
    </row>
    <row r="821" spans="1:10" ht="15" hidden="1">
      <c r="A821" s="6">
        <v>46182</v>
      </c>
      <c r="B821" s="7" t="s">
        <v>768</v>
      </c>
      <c r="C821" t="s">
        <v>162</v>
      </c>
      <c r="D821" t="s">
        <v>166</v>
      </c>
      <c r="E821" t="s">
        <v>486</v>
      </c>
      <c r="F821" t="s">
        <v>1175</v>
      </c>
      <c r="G821" s="6">
        <v>46182</v>
      </c>
      <c r="H821" t="s">
        <v>18</v>
      </c>
      <c r="I821" t="s">
        <v>19</v>
      </c>
      <c r="J821">
        <f t="shared" si="20"/>
        <v>100</v>
      </c>
    </row>
    <row r="822" spans="1:10" ht="15" hidden="1">
      <c r="A822" s="6">
        <v>46183</v>
      </c>
      <c r="B822" s="7" t="s">
        <v>768</v>
      </c>
      <c r="C822" t="s">
        <v>162</v>
      </c>
      <c r="D822" t="s">
        <v>166</v>
      </c>
      <c r="E822" t="s">
        <v>1176</v>
      </c>
      <c r="F822" t="s">
        <v>1177</v>
      </c>
      <c r="G822" s="6">
        <v>46183</v>
      </c>
      <c r="H822" t="s">
        <v>18</v>
      </c>
      <c r="I822" t="s">
        <v>19</v>
      </c>
      <c r="J822">
        <f t="shared" si="20"/>
        <v>100</v>
      </c>
    </row>
    <row r="823" spans="1:10" ht="15" hidden="1">
      <c r="A823" s="6">
        <v>46183</v>
      </c>
      <c r="B823" s="7" t="s">
        <v>768</v>
      </c>
      <c r="C823" t="s">
        <v>162</v>
      </c>
      <c r="D823" t="s">
        <v>166</v>
      </c>
      <c r="E823" t="s">
        <v>609</v>
      </c>
      <c r="F823" t="s">
        <v>1160</v>
      </c>
      <c r="G823" s="6">
        <v>46183</v>
      </c>
      <c r="H823" t="s">
        <v>18</v>
      </c>
      <c r="I823" t="s">
        <v>19</v>
      </c>
      <c r="J823">
        <f t="shared" si="20"/>
        <v>100</v>
      </c>
    </row>
    <row r="824" spans="1:10" ht="15" hidden="1">
      <c r="A824" s="6">
        <v>46183</v>
      </c>
      <c r="B824" s="7" t="s">
        <v>768</v>
      </c>
      <c r="C824" t="s">
        <v>162</v>
      </c>
      <c r="D824" t="s">
        <v>166</v>
      </c>
      <c r="E824" t="s">
        <v>1178</v>
      </c>
      <c r="F824" t="s">
        <v>1179</v>
      </c>
      <c r="G824" s="6">
        <v>46183</v>
      </c>
      <c r="H824" t="s">
        <v>18</v>
      </c>
      <c r="I824" t="s">
        <v>19</v>
      </c>
      <c r="J824">
        <f t="shared" si="20"/>
        <v>100</v>
      </c>
    </row>
    <row r="825" spans="1:10" ht="15" hidden="1">
      <c r="A825" s="6">
        <v>46183</v>
      </c>
      <c r="B825" s="7" t="s">
        <v>768</v>
      </c>
      <c r="C825" t="s">
        <v>162</v>
      </c>
      <c r="D825" t="s">
        <v>166</v>
      </c>
      <c r="E825" t="s">
        <v>1180</v>
      </c>
      <c r="F825" t="s">
        <v>1181</v>
      </c>
      <c r="G825" s="6">
        <v>46183</v>
      </c>
      <c r="H825" t="s">
        <v>18</v>
      </c>
      <c r="I825" t="s">
        <v>19</v>
      </c>
      <c r="J825">
        <f t="shared" si="20"/>
        <v>100</v>
      </c>
    </row>
    <row r="826" spans="1:10" hidden="1">
      <c r="A826" s="6">
        <v>46183</v>
      </c>
      <c r="B826" t="s">
        <v>389</v>
      </c>
      <c r="C826" t="s">
        <v>271</v>
      </c>
      <c r="D826" t="s">
        <v>1182</v>
      </c>
      <c r="E826" t="s">
        <v>1183</v>
      </c>
      <c r="F826" t="s">
        <v>1184</v>
      </c>
      <c r="G826" s="6">
        <v>46183</v>
      </c>
      <c r="H826" t="s">
        <v>1185</v>
      </c>
      <c r="I826" t="s">
        <v>19</v>
      </c>
      <c r="J826">
        <f t="shared" si="20"/>
        <v>100</v>
      </c>
    </row>
    <row r="827" spans="1:10" hidden="1">
      <c r="A827" s="6">
        <v>46183</v>
      </c>
      <c r="B827" t="s">
        <v>186</v>
      </c>
      <c r="C827" t="s">
        <v>162</v>
      </c>
      <c r="D827" t="s">
        <v>166</v>
      </c>
      <c r="E827" t="s">
        <v>1186</v>
      </c>
      <c r="F827" t="s">
        <v>1187</v>
      </c>
      <c r="G827" s="6">
        <v>46183</v>
      </c>
      <c r="H827" t="s">
        <v>18</v>
      </c>
      <c r="I827" t="s">
        <v>19</v>
      </c>
      <c r="J827">
        <f t="shared" si="20"/>
        <v>100</v>
      </c>
    </row>
    <row r="828" spans="1:10" hidden="1">
      <c r="A828" s="6">
        <v>46183</v>
      </c>
      <c r="B828" t="s">
        <v>222</v>
      </c>
      <c r="C828" t="s">
        <v>162</v>
      </c>
      <c r="D828" t="s">
        <v>179</v>
      </c>
      <c r="E828" t="s">
        <v>486</v>
      </c>
      <c r="F828" t="s">
        <v>1175</v>
      </c>
      <c r="G828" s="6">
        <v>46183</v>
      </c>
      <c r="H828" t="s">
        <v>18</v>
      </c>
      <c r="I828" t="s">
        <v>19</v>
      </c>
      <c r="J828">
        <f t="shared" si="20"/>
        <v>100</v>
      </c>
    </row>
    <row r="829" spans="1:10" hidden="1">
      <c r="A829" s="6">
        <v>46183</v>
      </c>
      <c r="B829" t="s">
        <v>326</v>
      </c>
      <c r="C829" t="s">
        <v>327</v>
      </c>
      <c r="D829" t="s">
        <v>176</v>
      </c>
      <c r="E829" t="s">
        <v>478</v>
      </c>
      <c r="F829" t="s">
        <v>1188</v>
      </c>
      <c r="G829" s="6">
        <v>46183</v>
      </c>
      <c r="H829" t="s">
        <v>18</v>
      </c>
      <c r="I829" s="13" t="s">
        <v>19</v>
      </c>
      <c r="J829">
        <f t="shared" si="20"/>
        <v>100</v>
      </c>
    </row>
    <row r="830" spans="1:10" hidden="1">
      <c r="A830" s="6">
        <v>46183</v>
      </c>
      <c r="B830" t="s">
        <v>326</v>
      </c>
      <c r="C830" t="s">
        <v>327</v>
      </c>
      <c r="D830" t="s">
        <v>176</v>
      </c>
      <c r="E830" t="s">
        <v>1189</v>
      </c>
      <c r="G830" s="6">
        <v>46183</v>
      </c>
      <c r="H830" t="s">
        <v>18</v>
      </c>
      <c r="I830" s="13" t="s">
        <v>19</v>
      </c>
      <c r="J830">
        <f t="shared" si="20"/>
        <v>100</v>
      </c>
    </row>
    <row r="831" spans="1:10" hidden="1">
      <c r="A831" s="6">
        <v>46183</v>
      </c>
      <c r="B831" t="s">
        <v>326</v>
      </c>
      <c r="C831" t="s">
        <v>327</v>
      </c>
      <c r="D831" t="s">
        <v>176</v>
      </c>
      <c r="E831" t="s">
        <v>1190</v>
      </c>
      <c r="F831" t="s">
        <v>1191</v>
      </c>
      <c r="G831" s="6">
        <v>46183</v>
      </c>
      <c r="H831" t="s">
        <v>18</v>
      </c>
      <c r="I831" s="13" t="s">
        <v>19</v>
      </c>
      <c r="J831">
        <f t="shared" si="20"/>
        <v>100</v>
      </c>
    </row>
    <row r="832" spans="1:10" hidden="1">
      <c r="A832" s="6">
        <v>46183</v>
      </c>
      <c r="B832" t="s">
        <v>165</v>
      </c>
      <c r="C832" t="s">
        <v>162</v>
      </c>
      <c r="D832" t="s">
        <v>166</v>
      </c>
      <c r="E832" t="s">
        <v>1160</v>
      </c>
      <c r="F832" t="s">
        <v>1192</v>
      </c>
      <c r="G832" s="6">
        <v>46183</v>
      </c>
      <c r="H832" t="s">
        <v>541</v>
      </c>
      <c r="I832" t="s">
        <v>539</v>
      </c>
      <c r="J832">
        <f t="shared" si="20"/>
        <v>100</v>
      </c>
    </row>
    <row r="833" spans="1:11" hidden="1">
      <c r="A833" s="6">
        <v>46183</v>
      </c>
      <c r="B833" t="s">
        <v>165</v>
      </c>
      <c r="C833" t="s">
        <v>162</v>
      </c>
      <c r="D833" t="s">
        <v>166</v>
      </c>
      <c r="E833" t="s">
        <v>1193</v>
      </c>
      <c r="F833" t="s">
        <v>1194</v>
      </c>
      <c r="G833" s="6">
        <v>46183</v>
      </c>
      <c r="H833" t="s">
        <v>541</v>
      </c>
      <c r="I833" t="s">
        <v>539</v>
      </c>
      <c r="J833">
        <f t="shared" si="20"/>
        <v>100</v>
      </c>
    </row>
    <row r="834" spans="1:11" hidden="1">
      <c r="A834" s="6">
        <v>46183</v>
      </c>
      <c r="B834" t="s">
        <v>283</v>
      </c>
      <c r="C834" t="s">
        <v>162</v>
      </c>
      <c r="D834" t="s">
        <v>176</v>
      </c>
      <c r="E834" t="s">
        <v>1195</v>
      </c>
      <c r="F834" t="s">
        <v>1196</v>
      </c>
      <c r="G834" s="6">
        <v>46183</v>
      </c>
      <c r="H834" t="s">
        <v>1197</v>
      </c>
      <c r="I834" t="s">
        <v>539</v>
      </c>
      <c r="J834">
        <f t="shared" si="20"/>
        <v>100</v>
      </c>
    </row>
    <row r="835" spans="1:11" hidden="1">
      <c r="A835" s="6">
        <v>46184</v>
      </c>
      <c r="B835" t="s">
        <v>165</v>
      </c>
      <c r="C835" t="s">
        <v>162</v>
      </c>
      <c r="D835" t="s">
        <v>166</v>
      </c>
      <c r="E835" t="s">
        <v>1198</v>
      </c>
      <c r="F835" t="s">
        <v>1199</v>
      </c>
      <c r="G835" s="6">
        <v>46184</v>
      </c>
      <c r="H835" t="s">
        <v>541</v>
      </c>
      <c r="I835" t="s">
        <v>539</v>
      </c>
      <c r="J835">
        <f t="shared" si="20"/>
        <v>100</v>
      </c>
    </row>
    <row r="836" spans="1:11">
      <c r="A836" s="6">
        <v>46184</v>
      </c>
      <c r="B836" t="s">
        <v>222</v>
      </c>
      <c r="C836" t="s">
        <v>162</v>
      </c>
      <c r="D836" t="s">
        <v>179</v>
      </c>
      <c r="E836" t="s">
        <v>1200</v>
      </c>
      <c r="F836" t="s">
        <v>1201</v>
      </c>
      <c r="G836" s="6">
        <v>46184</v>
      </c>
      <c r="H836" t="s">
        <v>1197</v>
      </c>
      <c r="J836">
        <f t="shared" si="20"/>
        <v>0</v>
      </c>
    </row>
    <row r="837" spans="1:11" hidden="1">
      <c r="A837" s="6">
        <v>46188</v>
      </c>
      <c r="B837" t="s">
        <v>165</v>
      </c>
      <c r="C837" t="s">
        <v>1202</v>
      </c>
      <c r="D837" t="s">
        <v>1203</v>
      </c>
      <c r="E837" t="s">
        <v>1204</v>
      </c>
      <c r="F837" t="s">
        <v>1205</v>
      </c>
      <c r="G837" s="6">
        <v>46188</v>
      </c>
      <c r="H837" t="s">
        <v>1197</v>
      </c>
      <c r="I837" t="s">
        <v>19</v>
      </c>
      <c r="J837">
        <v>50</v>
      </c>
    </row>
    <row r="838" spans="1:11" hidden="1">
      <c r="A838" s="6">
        <v>46184</v>
      </c>
      <c r="B838" t="s">
        <v>186</v>
      </c>
      <c r="C838" t="s">
        <v>162</v>
      </c>
      <c r="D838" t="s">
        <v>166</v>
      </c>
      <c r="E838" t="s">
        <v>1206</v>
      </c>
      <c r="F838" t="s">
        <v>1207</v>
      </c>
      <c r="G838" s="6">
        <v>46184</v>
      </c>
      <c r="H838" t="s">
        <v>1197</v>
      </c>
      <c r="I838" t="s">
        <v>19</v>
      </c>
      <c r="J838">
        <f t="shared" si="20"/>
        <v>100</v>
      </c>
    </row>
    <row r="839" spans="1:11" hidden="1">
      <c r="A839" s="6">
        <v>46184</v>
      </c>
      <c r="B839" t="s">
        <v>701</v>
      </c>
      <c r="C839" t="s">
        <v>498</v>
      </c>
      <c r="D839" t="s">
        <v>497</v>
      </c>
      <c r="E839" t="s">
        <v>702</v>
      </c>
      <c r="F839" t="s">
        <v>1208</v>
      </c>
      <c r="G839" s="6">
        <v>46184</v>
      </c>
      <c r="H839" t="s">
        <v>541</v>
      </c>
      <c r="I839" t="s">
        <v>539</v>
      </c>
      <c r="J839">
        <f t="shared" si="20"/>
        <v>100</v>
      </c>
      <c r="K839" t="s">
        <v>483</v>
      </c>
    </row>
    <row r="840" spans="1:11" hidden="1">
      <c r="A840" s="6">
        <v>46184</v>
      </c>
      <c r="B840" t="s">
        <v>701</v>
      </c>
      <c r="C840" t="s">
        <v>498</v>
      </c>
      <c r="D840" t="s">
        <v>497</v>
      </c>
      <c r="E840" t="s">
        <v>1209</v>
      </c>
      <c r="F840" t="s">
        <v>1210</v>
      </c>
      <c r="G840" s="6">
        <v>46184</v>
      </c>
      <c r="H840" t="s">
        <v>1197</v>
      </c>
      <c r="I840" t="s">
        <v>19</v>
      </c>
      <c r="J840">
        <f t="shared" si="20"/>
        <v>100</v>
      </c>
      <c r="K840" t="s">
        <v>483</v>
      </c>
    </row>
    <row r="841" spans="1:11" ht="15" hidden="1">
      <c r="A841" s="6">
        <v>46184</v>
      </c>
      <c r="B841" s="7" t="s">
        <v>768</v>
      </c>
      <c r="C841" t="s">
        <v>162</v>
      </c>
      <c r="D841" t="s">
        <v>166</v>
      </c>
      <c r="E841" t="s">
        <v>1211</v>
      </c>
      <c r="F841" t="s">
        <v>1212</v>
      </c>
      <c r="G841" s="6">
        <v>46184</v>
      </c>
      <c r="H841" t="s">
        <v>1197</v>
      </c>
      <c r="I841" t="s">
        <v>19</v>
      </c>
      <c r="J841">
        <f t="shared" si="20"/>
        <v>100</v>
      </c>
    </row>
    <row r="842" spans="1:11" ht="15" hidden="1">
      <c r="A842" s="6">
        <v>46184</v>
      </c>
      <c r="B842" s="7" t="s">
        <v>768</v>
      </c>
      <c r="C842" t="s">
        <v>162</v>
      </c>
      <c r="D842" t="s">
        <v>166</v>
      </c>
      <c r="E842" t="s">
        <v>1213</v>
      </c>
      <c r="F842" t="s">
        <v>1214</v>
      </c>
      <c r="G842" s="6">
        <v>46184</v>
      </c>
      <c r="H842" t="s">
        <v>1197</v>
      </c>
      <c r="I842" t="s">
        <v>19</v>
      </c>
      <c r="J842">
        <f t="shared" si="20"/>
        <v>100</v>
      </c>
    </row>
    <row r="843" spans="1:11" hidden="1">
      <c r="A843" s="6">
        <v>46184</v>
      </c>
      <c r="B843" t="s">
        <v>170</v>
      </c>
      <c r="C843" t="s">
        <v>171</v>
      </c>
      <c r="D843" t="s">
        <v>15</v>
      </c>
      <c r="E843" t="s">
        <v>362</v>
      </c>
      <c r="F843" t="s">
        <v>862</v>
      </c>
      <c r="G843" s="6">
        <v>46184</v>
      </c>
      <c r="H843" t="s">
        <v>18</v>
      </c>
      <c r="I843" t="s">
        <v>19</v>
      </c>
      <c r="J843">
        <f t="shared" ref="J843:J927" si="21">IF(I843="Completed",100,IF(I843="Ongoing",50,IF(I843="For Review",75,IF(I843="Delayed",30,0))))</f>
        <v>100</v>
      </c>
    </row>
    <row r="844" spans="1:11" hidden="1">
      <c r="A844" s="6">
        <v>46184</v>
      </c>
      <c r="B844" t="s">
        <v>170</v>
      </c>
      <c r="C844" t="s">
        <v>171</v>
      </c>
      <c r="D844" t="s">
        <v>15</v>
      </c>
      <c r="E844" t="s">
        <v>362</v>
      </c>
      <c r="F844" t="s">
        <v>1215</v>
      </c>
      <c r="G844" s="6">
        <v>46184</v>
      </c>
      <c r="H844" t="s">
        <v>18</v>
      </c>
      <c r="I844" t="s">
        <v>19</v>
      </c>
      <c r="J844">
        <f t="shared" si="21"/>
        <v>100</v>
      </c>
    </row>
    <row r="845" spans="1:11" hidden="1">
      <c r="A845" s="6">
        <v>46184</v>
      </c>
      <c r="B845" t="s">
        <v>170</v>
      </c>
      <c r="C845" t="s">
        <v>171</v>
      </c>
      <c r="D845" t="s">
        <v>15</v>
      </c>
      <c r="E845" t="s">
        <v>362</v>
      </c>
      <c r="F845" t="s">
        <v>282</v>
      </c>
      <c r="G845" s="6">
        <v>46184</v>
      </c>
      <c r="H845" t="s">
        <v>18</v>
      </c>
      <c r="I845" t="s">
        <v>19</v>
      </c>
      <c r="J845">
        <f t="shared" si="21"/>
        <v>100</v>
      </c>
    </row>
    <row r="846" spans="1:11" hidden="1">
      <c r="A846" s="6">
        <v>46184</v>
      </c>
      <c r="B846" t="s">
        <v>283</v>
      </c>
      <c r="C846" t="s">
        <v>162</v>
      </c>
      <c r="D846" t="s">
        <v>176</v>
      </c>
      <c r="E846" t="s">
        <v>877</v>
      </c>
      <c r="F846" t="s">
        <v>1216</v>
      </c>
      <c r="G846" s="6">
        <v>46184</v>
      </c>
      <c r="H846" t="s">
        <v>18</v>
      </c>
      <c r="I846" t="s">
        <v>19</v>
      </c>
      <c r="J846">
        <f t="shared" si="21"/>
        <v>100</v>
      </c>
    </row>
    <row r="847" spans="1:11" hidden="1">
      <c r="A847" s="6">
        <v>46184</v>
      </c>
      <c r="B847" t="s">
        <v>283</v>
      </c>
      <c r="C847" t="s">
        <v>162</v>
      </c>
      <c r="D847" t="s">
        <v>176</v>
      </c>
      <c r="E847" t="s">
        <v>82</v>
      </c>
      <c r="F847" t="s">
        <v>1217</v>
      </c>
      <c r="G847" s="6">
        <v>46184</v>
      </c>
      <c r="H847" t="s">
        <v>57</v>
      </c>
      <c r="I847" t="s">
        <v>19</v>
      </c>
      <c r="J847">
        <f t="shared" si="21"/>
        <v>100</v>
      </c>
    </row>
    <row r="848" spans="1:11" hidden="1">
      <c r="A848" s="6">
        <v>46188</v>
      </c>
      <c r="B848" t="s">
        <v>170</v>
      </c>
      <c r="C848" t="s">
        <v>171</v>
      </c>
      <c r="D848" t="s">
        <v>15</v>
      </c>
      <c r="E848" t="s">
        <v>362</v>
      </c>
      <c r="F848" t="s">
        <v>862</v>
      </c>
      <c r="G848" s="6">
        <v>46188</v>
      </c>
      <c r="H848" t="s">
        <v>18</v>
      </c>
      <c r="I848" t="s">
        <v>19</v>
      </c>
      <c r="J848">
        <f t="shared" si="21"/>
        <v>100</v>
      </c>
    </row>
    <row r="849" spans="1:11" hidden="1">
      <c r="A849" s="6">
        <v>46188</v>
      </c>
      <c r="B849" t="s">
        <v>242</v>
      </c>
      <c r="C849" t="s">
        <v>339</v>
      </c>
      <c r="D849" t="s">
        <v>179</v>
      </c>
      <c r="E849" t="s">
        <v>503</v>
      </c>
      <c r="F849" t="s">
        <v>1218</v>
      </c>
      <c r="G849" s="6">
        <v>46188</v>
      </c>
      <c r="H849" t="s">
        <v>18</v>
      </c>
      <c r="I849" t="s">
        <v>19</v>
      </c>
      <c r="J849">
        <f t="shared" si="21"/>
        <v>100</v>
      </c>
    </row>
    <row r="850" spans="1:11" hidden="1">
      <c r="A850" s="6">
        <v>46188</v>
      </c>
      <c r="B850" t="s">
        <v>170</v>
      </c>
      <c r="C850" t="s">
        <v>171</v>
      </c>
      <c r="D850" t="s">
        <v>15</v>
      </c>
      <c r="E850" t="s">
        <v>237</v>
      </c>
      <c r="F850" t="s">
        <v>1219</v>
      </c>
      <c r="G850" s="6">
        <v>46188</v>
      </c>
      <c r="H850" t="s">
        <v>18</v>
      </c>
      <c r="I850" t="s">
        <v>19</v>
      </c>
      <c r="J850">
        <f t="shared" si="21"/>
        <v>100</v>
      </c>
    </row>
    <row r="851" spans="1:11" hidden="1">
      <c r="A851" s="6">
        <v>46188</v>
      </c>
      <c r="B851" t="s">
        <v>170</v>
      </c>
      <c r="C851" t="s">
        <v>171</v>
      </c>
      <c r="D851" t="s">
        <v>15</v>
      </c>
      <c r="E851" t="s">
        <v>237</v>
      </c>
      <c r="F851" t="s">
        <v>282</v>
      </c>
      <c r="G851" s="6">
        <v>46188</v>
      </c>
      <c r="H851" t="s">
        <v>18</v>
      </c>
      <c r="I851" t="s">
        <v>19</v>
      </c>
      <c r="J851">
        <f t="shared" si="21"/>
        <v>100</v>
      </c>
    </row>
    <row r="852" spans="1:11" hidden="1">
      <c r="A852" s="6">
        <v>46189</v>
      </c>
      <c r="B852" t="s">
        <v>170</v>
      </c>
      <c r="C852" t="s">
        <v>171</v>
      </c>
      <c r="D852" t="s">
        <v>15</v>
      </c>
      <c r="E852" t="s">
        <v>501</v>
      </c>
      <c r="F852" t="s">
        <v>1220</v>
      </c>
      <c r="G852" s="6">
        <v>46190</v>
      </c>
      <c r="H852" t="s">
        <v>552</v>
      </c>
      <c r="I852" t="s">
        <v>539</v>
      </c>
    </row>
    <row r="853" spans="1:11" hidden="1">
      <c r="A853" s="6">
        <v>46189</v>
      </c>
      <c r="B853" t="s">
        <v>165</v>
      </c>
      <c r="C853" t="s">
        <v>1202</v>
      </c>
      <c r="D853" t="s">
        <v>1203</v>
      </c>
      <c r="E853" t="s">
        <v>1204</v>
      </c>
      <c r="F853" t="s">
        <v>1205</v>
      </c>
      <c r="G853" s="6">
        <v>46189</v>
      </c>
      <c r="H853" t="s">
        <v>1197</v>
      </c>
      <c r="I853" t="s">
        <v>19</v>
      </c>
    </row>
    <row r="854" spans="1:11" hidden="1">
      <c r="A854" s="6">
        <v>46190</v>
      </c>
      <c r="B854" t="s">
        <v>165</v>
      </c>
      <c r="C854" t="s">
        <v>1202</v>
      </c>
      <c r="D854" t="s">
        <v>1203</v>
      </c>
      <c r="E854" t="s">
        <v>1204</v>
      </c>
      <c r="F854" t="s">
        <v>1205</v>
      </c>
      <c r="G854" s="6">
        <v>46190</v>
      </c>
      <c r="H854" t="s">
        <v>1197</v>
      </c>
      <c r="I854" t="s">
        <v>19</v>
      </c>
    </row>
    <row r="855" spans="1:11">
      <c r="A855" s="6">
        <v>46191</v>
      </c>
      <c r="B855" t="s">
        <v>27</v>
      </c>
      <c r="C855" t="s">
        <v>1221</v>
      </c>
      <c r="D855" t="s">
        <v>15</v>
      </c>
      <c r="E855" t="s">
        <v>1222</v>
      </c>
      <c r="F855" t="s">
        <v>1223</v>
      </c>
      <c r="G855" s="6">
        <v>46192</v>
      </c>
      <c r="H855" t="s">
        <v>1197</v>
      </c>
      <c r="I855" t="s">
        <v>1224</v>
      </c>
      <c r="J855">
        <f t="shared" si="21"/>
        <v>0</v>
      </c>
    </row>
    <row r="856" spans="1:11" hidden="1">
      <c r="A856" s="6">
        <v>46191</v>
      </c>
      <c r="B856" t="s">
        <v>27</v>
      </c>
      <c r="C856" t="s">
        <v>1221</v>
      </c>
      <c r="D856" t="s">
        <v>15</v>
      </c>
      <c r="E856" t="s">
        <v>1225</v>
      </c>
      <c r="F856" t="s">
        <v>1226</v>
      </c>
      <c r="G856" s="6">
        <v>46191</v>
      </c>
      <c r="H856" t="s">
        <v>18</v>
      </c>
      <c r="I856" t="s">
        <v>19</v>
      </c>
      <c r="J856">
        <f t="shared" si="21"/>
        <v>100</v>
      </c>
    </row>
    <row r="857" spans="1:11" hidden="1">
      <c r="A857" s="6">
        <v>46192</v>
      </c>
      <c r="B857" t="s">
        <v>701</v>
      </c>
      <c r="C857" t="s">
        <v>498</v>
      </c>
      <c r="D857" t="s">
        <v>497</v>
      </c>
      <c r="E857" t="s">
        <v>702</v>
      </c>
      <c r="F857" t="s">
        <v>1208</v>
      </c>
      <c r="G857" s="6">
        <v>46192</v>
      </c>
      <c r="H857" t="s">
        <v>18</v>
      </c>
      <c r="I857" t="s">
        <v>539</v>
      </c>
      <c r="J857">
        <f t="shared" si="21"/>
        <v>100</v>
      </c>
      <c r="K857" t="s">
        <v>483</v>
      </c>
    </row>
    <row r="858" spans="1:11" hidden="1">
      <c r="A858" s="6">
        <v>46192</v>
      </c>
      <c r="B858" t="s">
        <v>701</v>
      </c>
      <c r="C858" t="s">
        <v>498</v>
      </c>
      <c r="D858" t="s">
        <v>497</v>
      </c>
      <c r="E858" t="s">
        <v>1209</v>
      </c>
      <c r="F858" t="s">
        <v>1210</v>
      </c>
      <c r="G858" s="6">
        <v>46192</v>
      </c>
      <c r="H858" t="s">
        <v>18</v>
      </c>
      <c r="I858" t="s">
        <v>539</v>
      </c>
      <c r="J858">
        <f t="shared" si="21"/>
        <v>100</v>
      </c>
      <c r="K858" t="s">
        <v>483</v>
      </c>
    </row>
    <row r="859" spans="1:11" hidden="1">
      <c r="A859" s="6">
        <v>46192</v>
      </c>
      <c r="B859" t="s">
        <v>170</v>
      </c>
      <c r="C859" t="s">
        <v>171</v>
      </c>
      <c r="D859" t="s">
        <v>15</v>
      </c>
      <c r="E859" t="s">
        <v>362</v>
      </c>
      <c r="F859" t="s">
        <v>862</v>
      </c>
      <c r="G859" s="6">
        <v>46192</v>
      </c>
      <c r="H859" t="s">
        <v>18</v>
      </c>
      <c r="I859" t="s">
        <v>19</v>
      </c>
      <c r="J859">
        <f t="shared" si="21"/>
        <v>100</v>
      </c>
    </row>
    <row r="860" spans="1:11" hidden="1">
      <c r="A860" s="6">
        <v>46192</v>
      </c>
      <c r="B860" t="s">
        <v>170</v>
      </c>
      <c r="C860" t="s">
        <v>171</v>
      </c>
      <c r="D860" t="s">
        <v>15</v>
      </c>
      <c r="E860" t="s">
        <v>362</v>
      </c>
      <c r="F860" t="s">
        <v>1215</v>
      </c>
      <c r="G860" s="6">
        <v>46192</v>
      </c>
      <c r="H860" t="s">
        <v>18</v>
      </c>
      <c r="I860" t="s">
        <v>19</v>
      </c>
      <c r="J860">
        <f t="shared" si="21"/>
        <v>100</v>
      </c>
    </row>
    <row r="861" spans="1:11" hidden="1">
      <c r="A861" s="6">
        <v>46192</v>
      </c>
      <c r="B861" t="s">
        <v>170</v>
      </c>
      <c r="C861" t="s">
        <v>171</v>
      </c>
      <c r="D861" t="s">
        <v>15</v>
      </c>
      <c r="E861" t="s">
        <v>362</v>
      </c>
      <c r="F861" t="s">
        <v>1227</v>
      </c>
      <c r="G861" s="6">
        <v>46192</v>
      </c>
      <c r="H861" t="s">
        <v>18</v>
      </c>
      <c r="I861" t="s">
        <v>19</v>
      </c>
      <c r="J861">
        <f t="shared" si="21"/>
        <v>100</v>
      </c>
    </row>
    <row r="862" spans="1:11" hidden="1">
      <c r="A862" s="6">
        <v>46192</v>
      </c>
      <c r="B862" t="s">
        <v>170</v>
      </c>
      <c r="C862" t="s">
        <v>171</v>
      </c>
      <c r="D862" t="s">
        <v>15</v>
      </c>
      <c r="E862" t="s">
        <v>362</v>
      </c>
      <c r="F862" t="s">
        <v>363</v>
      </c>
      <c r="G862" s="6">
        <v>46192</v>
      </c>
      <c r="H862" t="s">
        <v>18</v>
      </c>
      <c r="I862" t="s">
        <v>19</v>
      </c>
      <c r="J862">
        <f t="shared" si="21"/>
        <v>100</v>
      </c>
    </row>
    <row r="863" spans="1:11">
      <c r="A863" s="6">
        <v>46195</v>
      </c>
      <c r="B863" t="s">
        <v>346</v>
      </c>
      <c r="C863" t="s">
        <v>157</v>
      </c>
      <c r="D863" t="s">
        <v>15</v>
      </c>
      <c r="E863" t="s">
        <v>409</v>
      </c>
      <c r="F863" t="s">
        <v>926</v>
      </c>
      <c r="G863" s="6">
        <v>46192</v>
      </c>
      <c r="H863" t="s">
        <v>1197</v>
      </c>
      <c r="I863" t="s">
        <v>51</v>
      </c>
      <c r="J863">
        <f t="shared" si="21"/>
        <v>50</v>
      </c>
    </row>
    <row r="864" spans="1:11" hidden="1">
      <c r="A864" s="6">
        <v>46195</v>
      </c>
      <c r="B864" t="s">
        <v>186</v>
      </c>
      <c r="C864" t="s">
        <v>162</v>
      </c>
      <c r="D864" t="s">
        <v>1203</v>
      </c>
      <c r="E864" t="s">
        <v>1228</v>
      </c>
      <c r="F864" t="s">
        <v>1229</v>
      </c>
      <c r="G864" s="6">
        <v>46195</v>
      </c>
      <c r="H864" t="s">
        <v>520</v>
      </c>
      <c r="I864" t="s">
        <v>19</v>
      </c>
      <c r="J864">
        <f t="shared" si="21"/>
        <v>100</v>
      </c>
    </row>
    <row r="865" spans="1:10" hidden="1">
      <c r="A865" s="6">
        <v>46195</v>
      </c>
      <c r="B865" t="s">
        <v>186</v>
      </c>
      <c r="C865" t="s">
        <v>162</v>
      </c>
      <c r="D865" t="s">
        <v>1203</v>
      </c>
      <c r="E865" t="s">
        <v>882</v>
      </c>
      <c r="F865" t="s">
        <v>882</v>
      </c>
      <c r="G865" s="6">
        <v>46195</v>
      </c>
      <c r="H865" t="s">
        <v>520</v>
      </c>
      <c r="I865" t="s">
        <v>19</v>
      </c>
      <c r="J865">
        <f t="shared" si="21"/>
        <v>100</v>
      </c>
    </row>
    <row r="866" spans="1:10" hidden="1">
      <c r="A866" s="6">
        <v>46195</v>
      </c>
      <c r="B866" t="s">
        <v>186</v>
      </c>
      <c r="C866" t="s">
        <v>162</v>
      </c>
      <c r="D866" t="s">
        <v>1203</v>
      </c>
      <c r="E866" t="s">
        <v>1230</v>
      </c>
      <c r="F866" t="s">
        <v>1229</v>
      </c>
      <c r="G866" s="6">
        <v>46195</v>
      </c>
      <c r="H866" t="s">
        <v>520</v>
      </c>
      <c r="I866" t="s">
        <v>19</v>
      </c>
      <c r="J866">
        <f t="shared" si="21"/>
        <v>100</v>
      </c>
    </row>
    <row r="867" spans="1:10">
      <c r="A867" s="6">
        <v>46195</v>
      </c>
      <c r="B867" t="s">
        <v>389</v>
      </c>
      <c r="C867" t="s">
        <v>1231</v>
      </c>
      <c r="D867" t="s">
        <v>15</v>
      </c>
      <c r="E867" t="s">
        <v>409</v>
      </c>
      <c r="F867" t="s">
        <v>1232</v>
      </c>
      <c r="G867" s="6">
        <v>46195</v>
      </c>
      <c r="H867" t="s">
        <v>18</v>
      </c>
      <c r="I867" t="s">
        <v>51</v>
      </c>
      <c r="J867">
        <f t="shared" si="21"/>
        <v>50</v>
      </c>
    </row>
    <row r="868" spans="1:10" hidden="1">
      <c r="A868" s="6">
        <v>46195</v>
      </c>
      <c r="B868" t="s">
        <v>234</v>
      </c>
      <c r="C868" t="s">
        <v>203</v>
      </c>
      <c r="D868" t="s">
        <v>1203</v>
      </c>
      <c r="E868" t="s">
        <v>1228</v>
      </c>
      <c r="F868" t="s">
        <v>1229</v>
      </c>
      <c r="G868" s="6">
        <v>46195</v>
      </c>
      <c r="H868" t="s">
        <v>18</v>
      </c>
      <c r="I868" t="s">
        <v>19</v>
      </c>
      <c r="J868">
        <f t="shared" si="21"/>
        <v>100</v>
      </c>
    </row>
    <row r="869" spans="1:10" hidden="1">
      <c r="A869" s="6">
        <v>46195</v>
      </c>
      <c r="B869" t="s">
        <v>234</v>
      </c>
      <c r="C869" t="s">
        <v>203</v>
      </c>
      <c r="D869" t="s">
        <v>1203</v>
      </c>
      <c r="E869" t="s">
        <v>1233</v>
      </c>
      <c r="F869" t="s">
        <v>1229</v>
      </c>
      <c r="G869" s="6">
        <v>46195</v>
      </c>
      <c r="H869" t="s">
        <v>18</v>
      </c>
      <c r="I869" t="s">
        <v>19</v>
      </c>
      <c r="J869">
        <v>100</v>
      </c>
    </row>
    <row r="870" spans="1:10" hidden="1">
      <c r="A870" s="6">
        <v>46195</v>
      </c>
      <c r="B870" t="s">
        <v>234</v>
      </c>
      <c r="C870" t="s">
        <v>203</v>
      </c>
      <c r="D870" t="s">
        <v>1203</v>
      </c>
      <c r="E870" t="s">
        <v>882</v>
      </c>
      <c r="F870" t="s">
        <v>882</v>
      </c>
      <c r="G870" s="6">
        <v>46195</v>
      </c>
      <c r="H870" t="s">
        <v>18</v>
      </c>
      <c r="I870" t="s">
        <v>19</v>
      </c>
    </row>
    <row r="871" spans="1:10" hidden="1">
      <c r="A871" s="6">
        <v>46195</v>
      </c>
      <c r="B871" t="s">
        <v>768</v>
      </c>
      <c r="C871" t="s">
        <v>162</v>
      </c>
      <c r="D871" t="s">
        <v>1203</v>
      </c>
      <c r="E871" t="s">
        <v>1228</v>
      </c>
      <c r="F871" t="s">
        <v>1229</v>
      </c>
      <c r="G871" s="6">
        <v>46195</v>
      </c>
      <c r="H871" t="s">
        <v>18</v>
      </c>
      <c r="I871" t="s">
        <v>19</v>
      </c>
      <c r="J871">
        <f t="shared" ref="J871:J875" si="22">IF(I871="Completed",100,IF(I871="Ongoing",50,IF(I871="For Review",75,IF(I871="Delayed",30,0))))</f>
        <v>100</v>
      </c>
    </row>
    <row r="872" spans="1:10" hidden="1">
      <c r="A872" s="6">
        <v>46195</v>
      </c>
      <c r="B872" t="s">
        <v>768</v>
      </c>
      <c r="C872" t="s">
        <v>162</v>
      </c>
      <c r="D872" t="s">
        <v>1203</v>
      </c>
      <c r="E872" t="s">
        <v>1234</v>
      </c>
      <c r="F872" t="s">
        <v>1229</v>
      </c>
      <c r="G872" s="6">
        <v>46195</v>
      </c>
      <c r="H872" t="s">
        <v>18</v>
      </c>
      <c r="I872" t="s">
        <v>19</v>
      </c>
    </row>
    <row r="873" spans="1:10" hidden="1">
      <c r="A873" s="6">
        <v>46195</v>
      </c>
      <c r="B873" t="s">
        <v>768</v>
      </c>
      <c r="C873" t="s">
        <v>162</v>
      </c>
      <c r="D873" t="s">
        <v>1203</v>
      </c>
      <c r="E873" t="s">
        <v>882</v>
      </c>
      <c r="F873" t="s">
        <v>882</v>
      </c>
      <c r="G873" s="6">
        <v>46195</v>
      </c>
      <c r="H873" t="s">
        <v>1197</v>
      </c>
      <c r="I873" t="s">
        <v>19</v>
      </c>
    </row>
    <row r="874" spans="1:10" hidden="1">
      <c r="A874" s="6">
        <v>46195</v>
      </c>
      <c r="B874" t="s">
        <v>1235</v>
      </c>
      <c r="C874" t="s">
        <v>162</v>
      </c>
      <c r="D874" t="s">
        <v>1236</v>
      </c>
      <c r="E874" t="s">
        <v>1228</v>
      </c>
      <c r="F874" t="s">
        <v>1229</v>
      </c>
      <c r="G874" s="6">
        <v>46195</v>
      </c>
      <c r="H874" t="s">
        <v>18</v>
      </c>
      <c r="I874" t="s">
        <v>19</v>
      </c>
      <c r="J874">
        <f t="shared" si="22"/>
        <v>100</v>
      </c>
    </row>
    <row r="875" spans="1:10" hidden="1">
      <c r="A875" s="6">
        <v>46195</v>
      </c>
      <c r="B875" t="s">
        <v>165</v>
      </c>
      <c r="C875" t="s">
        <v>162</v>
      </c>
      <c r="D875" t="s">
        <v>1203</v>
      </c>
      <c r="E875" t="s">
        <v>1228</v>
      </c>
      <c r="F875" t="s">
        <v>1229</v>
      </c>
      <c r="G875" s="6">
        <v>46195</v>
      </c>
      <c r="H875" t="s">
        <v>18</v>
      </c>
      <c r="I875" t="s">
        <v>19</v>
      </c>
      <c r="J875">
        <f t="shared" si="22"/>
        <v>100</v>
      </c>
    </row>
    <row r="876" spans="1:10" hidden="1">
      <c r="A876" s="6">
        <v>46195</v>
      </c>
      <c r="B876" t="s">
        <v>170</v>
      </c>
      <c r="C876" t="s">
        <v>171</v>
      </c>
      <c r="D876" t="s">
        <v>15</v>
      </c>
      <c r="E876" t="s">
        <v>501</v>
      </c>
      <c r="F876" t="s">
        <v>1237</v>
      </c>
      <c r="G876" s="6">
        <v>46195</v>
      </c>
      <c r="H876" t="s">
        <v>1197</v>
      </c>
      <c r="I876" t="s">
        <v>19</v>
      </c>
      <c r="J876">
        <f t="shared" si="21"/>
        <v>100</v>
      </c>
    </row>
    <row r="877" spans="1:10" hidden="1">
      <c r="A877" s="6">
        <v>46195</v>
      </c>
      <c r="B877" t="s">
        <v>1238</v>
      </c>
      <c r="C877" t="s">
        <v>327</v>
      </c>
      <c r="D877" t="s">
        <v>176</v>
      </c>
      <c r="E877" t="s">
        <v>1239</v>
      </c>
      <c r="F877" t="s">
        <v>1240</v>
      </c>
      <c r="G877" s="6">
        <v>46195</v>
      </c>
      <c r="H877" t="s">
        <v>18</v>
      </c>
      <c r="I877" t="s">
        <v>19</v>
      </c>
      <c r="J877">
        <f t="shared" si="21"/>
        <v>100</v>
      </c>
    </row>
    <row r="878" spans="1:10" hidden="1">
      <c r="A878" s="6">
        <v>46195</v>
      </c>
      <c r="B878" t="s">
        <v>1238</v>
      </c>
      <c r="C878" t="s">
        <v>327</v>
      </c>
      <c r="D878" t="s">
        <v>176</v>
      </c>
      <c r="E878" t="s">
        <v>1241</v>
      </c>
      <c r="F878" t="s">
        <v>1242</v>
      </c>
      <c r="G878" s="6">
        <v>46195</v>
      </c>
      <c r="H878" t="s">
        <v>18</v>
      </c>
      <c r="I878" t="s">
        <v>19</v>
      </c>
      <c r="J878">
        <f t="shared" si="21"/>
        <v>100</v>
      </c>
    </row>
    <row r="879" spans="1:10" hidden="1">
      <c r="A879" s="6">
        <v>46195</v>
      </c>
      <c r="B879" t="s">
        <v>165</v>
      </c>
      <c r="C879" t="s">
        <v>203</v>
      </c>
      <c r="D879" t="s">
        <v>1203</v>
      </c>
      <c r="E879" t="s">
        <v>1228</v>
      </c>
      <c r="F879" t="s">
        <v>1243</v>
      </c>
      <c r="G879" s="6">
        <v>46195</v>
      </c>
      <c r="H879" t="s">
        <v>1197</v>
      </c>
      <c r="I879" t="s">
        <v>539</v>
      </c>
      <c r="J879">
        <f t="shared" si="21"/>
        <v>100</v>
      </c>
    </row>
    <row r="880" spans="1:10" hidden="1">
      <c r="A880" s="6">
        <v>46195</v>
      </c>
      <c r="B880" t="s">
        <v>165</v>
      </c>
      <c r="C880" t="s">
        <v>203</v>
      </c>
      <c r="D880" t="s">
        <v>1203</v>
      </c>
      <c r="E880" t="s">
        <v>1241</v>
      </c>
      <c r="F880" t="s">
        <v>1244</v>
      </c>
      <c r="G880" s="6">
        <v>46195</v>
      </c>
      <c r="H880" t="s">
        <v>1197</v>
      </c>
      <c r="I880" t="s">
        <v>539</v>
      </c>
      <c r="J880">
        <f t="shared" si="21"/>
        <v>100</v>
      </c>
    </row>
    <row r="881" spans="1:10" hidden="1">
      <c r="A881" s="6">
        <v>46195</v>
      </c>
      <c r="B881" t="s">
        <v>165</v>
      </c>
      <c r="C881" t="s">
        <v>203</v>
      </c>
      <c r="D881" t="s">
        <v>1203</v>
      </c>
      <c r="E881" t="s">
        <v>1245</v>
      </c>
      <c r="F881" t="s">
        <v>1246</v>
      </c>
      <c r="G881" s="6">
        <v>46195</v>
      </c>
      <c r="H881" t="s">
        <v>541</v>
      </c>
      <c r="I881" t="s">
        <v>19</v>
      </c>
    </row>
    <row r="882" spans="1:10" hidden="1">
      <c r="A882" s="6">
        <v>46195</v>
      </c>
      <c r="B882" t="s">
        <v>1135</v>
      </c>
      <c r="C882" t="s">
        <v>1247</v>
      </c>
      <c r="D882" t="s">
        <v>176</v>
      </c>
      <c r="E882" t="s">
        <v>1248</v>
      </c>
      <c r="F882" t="s">
        <v>1249</v>
      </c>
      <c r="G882" s="6">
        <v>46195</v>
      </c>
      <c r="H882" t="s">
        <v>18</v>
      </c>
      <c r="I882" t="s">
        <v>19</v>
      </c>
      <c r="J882">
        <f t="shared" si="21"/>
        <v>100</v>
      </c>
    </row>
    <row r="883" spans="1:10" hidden="1">
      <c r="A883" s="6">
        <v>46195</v>
      </c>
      <c r="B883" t="s">
        <v>553</v>
      </c>
      <c r="C883" t="s">
        <v>1247</v>
      </c>
      <c r="D883" t="s">
        <v>176</v>
      </c>
      <c r="E883" t="s">
        <v>1248</v>
      </c>
      <c r="F883" t="s">
        <v>1249</v>
      </c>
      <c r="G883" s="6">
        <v>46195</v>
      </c>
      <c r="H883" t="s">
        <v>18</v>
      </c>
      <c r="I883" t="s">
        <v>19</v>
      </c>
      <c r="J883">
        <f t="shared" si="21"/>
        <v>100</v>
      </c>
    </row>
    <row r="884" spans="1:10" hidden="1">
      <c r="A884" s="6">
        <v>46195</v>
      </c>
      <c r="B884" t="s">
        <v>1235</v>
      </c>
      <c r="C884" t="s">
        <v>162</v>
      </c>
      <c r="D884" t="s">
        <v>1203</v>
      </c>
      <c r="E884" t="s">
        <v>1228</v>
      </c>
      <c r="F884" t="s">
        <v>1229</v>
      </c>
      <c r="G884" s="6">
        <v>46195</v>
      </c>
      <c r="H884" t="s">
        <v>18</v>
      </c>
      <c r="I884" t="s">
        <v>19</v>
      </c>
      <c r="J884">
        <f t="shared" si="21"/>
        <v>100</v>
      </c>
    </row>
    <row r="885" spans="1:10" hidden="1">
      <c r="A885" s="6">
        <v>46195</v>
      </c>
      <c r="B885" t="s">
        <v>1235</v>
      </c>
      <c r="C885" t="s">
        <v>162</v>
      </c>
      <c r="D885" t="s">
        <v>1203</v>
      </c>
      <c r="E885" t="s">
        <v>1233</v>
      </c>
      <c r="F885" t="s">
        <v>1229</v>
      </c>
      <c r="G885" s="6">
        <v>46195</v>
      </c>
      <c r="H885" t="s">
        <v>18</v>
      </c>
      <c r="I885" t="s">
        <v>19</v>
      </c>
      <c r="J885">
        <f t="shared" si="21"/>
        <v>100</v>
      </c>
    </row>
    <row r="886" spans="1:10" hidden="1">
      <c r="A886" s="6">
        <v>46195</v>
      </c>
      <c r="B886" t="s">
        <v>1235</v>
      </c>
      <c r="C886" t="s">
        <v>162</v>
      </c>
      <c r="D886" t="s">
        <v>1203</v>
      </c>
      <c r="E886" t="s">
        <v>882</v>
      </c>
      <c r="F886" t="s">
        <v>882</v>
      </c>
      <c r="G886" s="6">
        <v>46195</v>
      </c>
      <c r="H886" t="s">
        <v>18</v>
      </c>
      <c r="I886" t="s">
        <v>19</v>
      </c>
      <c r="J886">
        <f t="shared" si="21"/>
        <v>100</v>
      </c>
    </row>
    <row r="887" spans="1:10" hidden="1">
      <c r="A887" s="6">
        <v>46196</v>
      </c>
      <c r="B887" t="s">
        <v>186</v>
      </c>
      <c r="C887" t="s">
        <v>162</v>
      </c>
      <c r="D887" t="s">
        <v>1203</v>
      </c>
      <c r="E887" t="s">
        <v>1250</v>
      </c>
      <c r="F887" t="s">
        <v>1251</v>
      </c>
      <c r="G887" s="6">
        <v>46196</v>
      </c>
      <c r="H887" t="s">
        <v>18</v>
      </c>
      <c r="I887" t="s">
        <v>19</v>
      </c>
      <c r="J887">
        <f t="shared" si="21"/>
        <v>100</v>
      </c>
    </row>
    <row r="888" spans="1:10" hidden="1">
      <c r="A888" s="6">
        <v>46196</v>
      </c>
      <c r="B888" t="s">
        <v>186</v>
      </c>
      <c r="C888" t="s">
        <v>162</v>
      </c>
      <c r="D888" t="s">
        <v>1203</v>
      </c>
      <c r="E888" t="s">
        <v>882</v>
      </c>
      <c r="F888" t="s">
        <v>882</v>
      </c>
      <c r="G888" s="6">
        <v>46196</v>
      </c>
      <c r="H888" t="s">
        <v>18</v>
      </c>
      <c r="I888" t="s">
        <v>19</v>
      </c>
      <c r="J888">
        <f t="shared" si="21"/>
        <v>100</v>
      </c>
    </row>
    <row r="889" spans="1:10" hidden="1">
      <c r="A889" s="6">
        <v>46196</v>
      </c>
      <c r="B889" t="s">
        <v>234</v>
      </c>
      <c r="C889" t="s">
        <v>162</v>
      </c>
      <c r="D889" t="s">
        <v>1203</v>
      </c>
      <c r="E889" t="s">
        <v>1250</v>
      </c>
      <c r="F889" t="s">
        <v>1251</v>
      </c>
      <c r="G889" s="6">
        <v>46196</v>
      </c>
      <c r="H889" t="s">
        <v>18</v>
      </c>
      <c r="I889" t="s">
        <v>19</v>
      </c>
      <c r="J889">
        <f t="shared" si="21"/>
        <v>100</v>
      </c>
    </row>
    <row r="890" spans="1:10" hidden="1">
      <c r="A890" s="6">
        <v>46196</v>
      </c>
      <c r="B890" t="s">
        <v>234</v>
      </c>
      <c r="C890" t="s">
        <v>162</v>
      </c>
      <c r="D890" t="s">
        <v>1203</v>
      </c>
      <c r="E890" t="s">
        <v>882</v>
      </c>
      <c r="F890" t="s">
        <v>882</v>
      </c>
      <c r="G890" s="6">
        <v>46196</v>
      </c>
      <c r="H890" t="s">
        <v>18</v>
      </c>
      <c r="I890" t="s">
        <v>19</v>
      </c>
      <c r="J890">
        <f t="shared" si="21"/>
        <v>100</v>
      </c>
    </row>
    <row r="891" spans="1:10" hidden="1">
      <c r="A891" s="6">
        <v>46196</v>
      </c>
      <c r="B891" t="s">
        <v>404</v>
      </c>
      <c r="C891" t="s">
        <v>162</v>
      </c>
      <c r="D891" t="s">
        <v>1203</v>
      </c>
      <c r="E891" t="s">
        <v>1252</v>
      </c>
      <c r="F891" t="s">
        <v>1251</v>
      </c>
      <c r="G891" s="6">
        <v>46196</v>
      </c>
      <c r="H891" t="s">
        <v>541</v>
      </c>
      <c r="I891" t="s">
        <v>539</v>
      </c>
      <c r="J891">
        <f t="shared" si="21"/>
        <v>100</v>
      </c>
    </row>
    <row r="892" spans="1:10">
      <c r="A892" s="6">
        <v>46196</v>
      </c>
      <c r="B892" t="s">
        <v>404</v>
      </c>
      <c r="C892" t="s">
        <v>162</v>
      </c>
      <c r="D892" t="s">
        <v>1253</v>
      </c>
      <c r="J892">
        <f t="shared" si="21"/>
        <v>0</v>
      </c>
    </row>
    <row r="893" spans="1:10" hidden="1">
      <c r="A893" s="6">
        <v>46195</v>
      </c>
      <c r="B893" t="s">
        <v>1238</v>
      </c>
      <c r="C893" t="s">
        <v>327</v>
      </c>
      <c r="D893" t="s">
        <v>176</v>
      </c>
      <c r="E893" t="s">
        <v>1241</v>
      </c>
      <c r="F893" t="s">
        <v>1254</v>
      </c>
      <c r="G893" s="6">
        <v>46195</v>
      </c>
      <c r="H893" t="s">
        <v>18</v>
      </c>
      <c r="I893" t="s">
        <v>19</v>
      </c>
      <c r="J893">
        <f t="shared" si="21"/>
        <v>100</v>
      </c>
    </row>
    <row r="894" spans="1:10">
      <c r="A894" s="6">
        <v>46195</v>
      </c>
      <c r="B894" t="s">
        <v>1238</v>
      </c>
      <c r="C894" t="s">
        <v>327</v>
      </c>
      <c r="D894" t="s">
        <v>176</v>
      </c>
      <c r="E894" t="s">
        <v>1255</v>
      </c>
      <c r="G894" s="6">
        <v>46195</v>
      </c>
      <c r="H894" t="s">
        <v>18</v>
      </c>
      <c r="I894" t="s">
        <v>51</v>
      </c>
      <c r="J894">
        <f t="shared" si="21"/>
        <v>50</v>
      </c>
    </row>
    <row r="895" spans="1:10" hidden="1">
      <c r="A895" s="6">
        <v>46196</v>
      </c>
      <c r="B895" t="s">
        <v>768</v>
      </c>
      <c r="C895" t="s">
        <v>203</v>
      </c>
      <c r="D895" t="s">
        <v>1203</v>
      </c>
      <c r="E895" t="s">
        <v>882</v>
      </c>
      <c r="F895" t="s">
        <v>882</v>
      </c>
      <c r="G895" s="6">
        <v>46196</v>
      </c>
      <c r="H895" t="s">
        <v>1197</v>
      </c>
      <c r="I895" t="s">
        <v>19</v>
      </c>
      <c r="J895">
        <f t="shared" si="21"/>
        <v>100</v>
      </c>
    </row>
    <row r="896" spans="1:10" hidden="1">
      <c r="A896" s="6">
        <v>46196</v>
      </c>
      <c r="B896" t="s">
        <v>768</v>
      </c>
      <c r="C896" t="s">
        <v>203</v>
      </c>
      <c r="D896" t="s">
        <v>1203</v>
      </c>
      <c r="E896" t="s">
        <v>1250</v>
      </c>
      <c r="F896" t="s">
        <v>1251</v>
      </c>
      <c r="G896" s="6">
        <v>46196</v>
      </c>
      <c r="H896" t="s">
        <v>1197</v>
      </c>
      <c r="I896" t="s">
        <v>19</v>
      </c>
      <c r="J896">
        <f t="shared" si="21"/>
        <v>100</v>
      </c>
    </row>
    <row r="897" spans="1:10" hidden="1">
      <c r="A897" s="6">
        <v>46196</v>
      </c>
      <c r="B897" t="s">
        <v>1235</v>
      </c>
      <c r="C897" t="s">
        <v>203</v>
      </c>
      <c r="D897" t="s">
        <v>1256</v>
      </c>
      <c r="E897" t="s">
        <v>409</v>
      </c>
      <c r="F897" t="s">
        <v>1257</v>
      </c>
      <c r="G897" s="6">
        <v>46196</v>
      </c>
      <c r="H897" t="s">
        <v>1197</v>
      </c>
      <c r="I897" t="s">
        <v>19</v>
      </c>
      <c r="J897">
        <f t="shared" si="21"/>
        <v>100</v>
      </c>
    </row>
    <row r="898" spans="1:10" hidden="1">
      <c r="A898" s="6">
        <v>46197</v>
      </c>
      <c r="B898" t="s">
        <v>234</v>
      </c>
      <c r="C898" t="s">
        <v>203</v>
      </c>
      <c r="D898" t="s">
        <v>1203</v>
      </c>
      <c r="E898" t="s">
        <v>1258</v>
      </c>
      <c r="F898" t="s">
        <v>1259</v>
      </c>
      <c r="G898" s="6">
        <v>46197</v>
      </c>
      <c r="H898" t="s">
        <v>1197</v>
      </c>
      <c r="I898" t="s">
        <v>19</v>
      </c>
      <c r="J898">
        <f t="shared" si="21"/>
        <v>100</v>
      </c>
    </row>
    <row r="899" spans="1:10" hidden="1">
      <c r="A899" s="6">
        <v>46197</v>
      </c>
      <c r="B899" t="s">
        <v>234</v>
      </c>
      <c r="C899" t="s">
        <v>203</v>
      </c>
      <c r="D899" t="s">
        <v>1203</v>
      </c>
      <c r="E899" t="s">
        <v>1260</v>
      </c>
      <c r="F899" t="s">
        <v>1261</v>
      </c>
      <c r="G899" s="6">
        <v>46197</v>
      </c>
      <c r="H899" t="s">
        <v>1197</v>
      </c>
      <c r="I899" t="s">
        <v>19</v>
      </c>
      <c r="J899">
        <f t="shared" si="21"/>
        <v>100</v>
      </c>
    </row>
    <row r="900" spans="1:10" hidden="1">
      <c r="A900" s="6">
        <v>46197</v>
      </c>
      <c r="B900" t="s">
        <v>170</v>
      </c>
      <c r="C900" t="s">
        <v>171</v>
      </c>
      <c r="D900" t="s">
        <v>758</v>
      </c>
      <c r="E900" t="s">
        <v>501</v>
      </c>
      <c r="F900" t="s">
        <v>1262</v>
      </c>
      <c r="G900" s="6">
        <v>46197</v>
      </c>
      <c r="H900" t="s">
        <v>18</v>
      </c>
      <c r="I900" t="s">
        <v>19</v>
      </c>
      <c r="J900">
        <f t="shared" si="21"/>
        <v>100</v>
      </c>
    </row>
    <row r="901" spans="1:10" hidden="1">
      <c r="A901" s="6" t="s">
        <v>1263</v>
      </c>
      <c r="B901" t="s">
        <v>404</v>
      </c>
      <c r="C901" t="s">
        <v>203</v>
      </c>
      <c r="D901" t="s">
        <v>1203</v>
      </c>
      <c r="E901" t="s">
        <v>501</v>
      </c>
      <c r="F901" t="s">
        <v>1264</v>
      </c>
      <c r="G901" s="6">
        <v>46197</v>
      </c>
      <c r="H901" t="s">
        <v>541</v>
      </c>
      <c r="I901" t="s">
        <v>539</v>
      </c>
      <c r="J901">
        <f t="shared" si="21"/>
        <v>100</v>
      </c>
    </row>
    <row r="902" spans="1:10" hidden="1">
      <c r="A902" s="6">
        <v>46197</v>
      </c>
      <c r="B902" t="s">
        <v>404</v>
      </c>
      <c r="C902" t="s">
        <v>203</v>
      </c>
      <c r="D902" t="s">
        <v>1203</v>
      </c>
      <c r="E902" t="s">
        <v>882</v>
      </c>
      <c r="F902" t="s">
        <v>1265</v>
      </c>
      <c r="G902" s="6">
        <v>46197</v>
      </c>
      <c r="H902" t="s">
        <v>541</v>
      </c>
      <c r="I902" t="s">
        <v>539</v>
      </c>
      <c r="J902">
        <f t="shared" si="21"/>
        <v>100</v>
      </c>
    </row>
    <row r="903" spans="1:10" hidden="1">
      <c r="A903" s="6">
        <v>46197</v>
      </c>
      <c r="B903" t="s">
        <v>186</v>
      </c>
      <c r="C903" t="s">
        <v>203</v>
      </c>
      <c r="D903" t="s">
        <v>1203</v>
      </c>
      <c r="E903" t="s">
        <v>501</v>
      </c>
      <c r="F903" t="s">
        <v>1264</v>
      </c>
      <c r="G903" s="6">
        <v>46197</v>
      </c>
      <c r="H903" t="s">
        <v>541</v>
      </c>
      <c r="I903" t="s">
        <v>539</v>
      </c>
      <c r="J903">
        <f t="shared" si="21"/>
        <v>100</v>
      </c>
    </row>
    <row r="904" spans="1:10" hidden="1">
      <c r="A904" s="6">
        <v>46197</v>
      </c>
      <c r="B904" t="s">
        <v>186</v>
      </c>
      <c r="C904" t="s">
        <v>203</v>
      </c>
      <c r="D904" t="s">
        <v>1203</v>
      </c>
      <c r="E904" t="s">
        <v>882</v>
      </c>
      <c r="F904" t="s">
        <v>1266</v>
      </c>
      <c r="G904" s="6">
        <v>46197</v>
      </c>
      <c r="H904" t="s">
        <v>541</v>
      </c>
      <c r="I904" t="s">
        <v>539</v>
      </c>
    </row>
    <row r="905" spans="1:10" hidden="1">
      <c r="A905" s="6">
        <v>46197</v>
      </c>
      <c r="B905" t="s">
        <v>435</v>
      </c>
      <c r="C905" t="s">
        <v>203</v>
      </c>
      <c r="D905" t="s">
        <v>1203</v>
      </c>
      <c r="E905" t="s">
        <v>501</v>
      </c>
      <c r="F905" t="s">
        <v>1264</v>
      </c>
      <c r="G905" s="6">
        <v>46197</v>
      </c>
      <c r="H905" t="s">
        <v>541</v>
      </c>
      <c r="I905" t="s">
        <v>539</v>
      </c>
      <c r="J905">
        <f t="shared" si="21"/>
        <v>100</v>
      </c>
    </row>
    <row r="906" spans="1:10" hidden="1">
      <c r="A906" s="6">
        <v>46197</v>
      </c>
      <c r="B906" t="s">
        <v>435</v>
      </c>
      <c r="C906" t="s">
        <v>203</v>
      </c>
      <c r="D906" t="s">
        <v>1203</v>
      </c>
      <c r="E906" t="s">
        <v>1267</v>
      </c>
      <c r="F906" t="s">
        <v>1268</v>
      </c>
      <c r="G906" s="6">
        <v>46197</v>
      </c>
      <c r="H906" t="s">
        <v>541</v>
      </c>
      <c r="I906" t="s">
        <v>539</v>
      </c>
    </row>
    <row r="907" spans="1:10" hidden="1">
      <c r="A907" s="6">
        <v>46197</v>
      </c>
      <c r="B907" t="s">
        <v>768</v>
      </c>
      <c r="C907" t="s">
        <v>203</v>
      </c>
      <c r="D907" t="s">
        <v>1203</v>
      </c>
      <c r="E907" t="s">
        <v>1258</v>
      </c>
      <c r="F907" t="s">
        <v>1259</v>
      </c>
      <c r="G907" s="6">
        <v>46197</v>
      </c>
      <c r="H907" t="s">
        <v>18</v>
      </c>
      <c r="I907" t="s">
        <v>19</v>
      </c>
    </row>
    <row r="908" spans="1:10" hidden="1">
      <c r="A908" s="6">
        <v>46197</v>
      </c>
      <c r="B908" t="s">
        <v>768</v>
      </c>
      <c r="C908" t="s">
        <v>203</v>
      </c>
      <c r="D908" t="s">
        <v>1203</v>
      </c>
      <c r="E908" t="s">
        <v>1269</v>
      </c>
      <c r="F908" t="s">
        <v>1261</v>
      </c>
      <c r="G908" s="6">
        <v>46197</v>
      </c>
      <c r="H908" t="s">
        <v>18</v>
      </c>
      <c r="I908" t="s">
        <v>19</v>
      </c>
    </row>
    <row r="909" spans="1:10">
      <c r="A909" s="6">
        <v>46198</v>
      </c>
      <c r="B909" t="s">
        <v>234</v>
      </c>
      <c r="C909" t="s">
        <v>203</v>
      </c>
      <c r="D909" t="s">
        <v>1203</v>
      </c>
      <c r="E909" t="s">
        <v>1258</v>
      </c>
      <c r="F909" t="s">
        <v>1270</v>
      </c>
      <c r="G909" s="6">
        <v>46198</v>
      </c>
      <c r="H909" t="s">
        <v>18</v>
      </c>
      <c r="I909" t="s">
        <v>1224</v>
      </c>
      <c r="J909">
        <f t="shared" si="21"/>
        <v>0</v>
      </c>
    </row>
    <row r="910" spans="1:10" ht="15" hidden="1">
      <c r="A910" s="6">
        <v>46198</v>
      </c>
      <c r="B910" t="s">
        <v>234</v>
      </c>
      <c r="C910" t="s">
        <v>203</v>
      </c>
      <c r="D910" t="s">
        <v>1203</v>
      </c>
      <c r="E910" t="s">
        <v>258</v>
      </c>
      <c r="F910" s="7" t="s">
        <v>1271</v>
      </c>
      <c r="G910" s="6">
        <v>46198</v>
      </c>
      <c r="H910" t="s">
        <v>18</v>
      </c>
      <c r="I910" t="s">
        <v>539</v>
      </c>
    </row>
    <row r="911" spans="1:10" hidden="1">
      <c r="A911" s="6">
        <v>46198</v>
      </c>
      <c r="B911" t="s">
        <v>404</v>
      </c>
      <c r="C911" t="s">
        <v>203</v>
      </c>
      <c r="D911" t="s">
        <v>1203</v>
      </c>
      <c r="E911" t="s">
        <v>258</v>
      </c>
      <c r="F911" t="s">
        <v>1272</v>
      </c>
      <c r="G911" s="6">
        <v>46198</v>
      </c>
      <c r="H911" t="s">
        <v>18</v>
      </c>
      <c r="I911" t="s">
        <v>539</v>
      </c>
      <c r="J911">
        <f t="shared" si="21"/>
        <v>100</v>
      </c>
    </row>
    <row r="912" spans="1:10" hidden="1">
      <c r="A912" s="6">
        <v>46198</v>
      </c>
      <c r="B912" t="s">
        <v>404</v>
      </c>
      <c r="C912" t="s">
        <v>203</v>
      </c>
      <c r="D912" t="s">
        <v>1203</v>
      </c>
      <c r="E912" t="s">
        <v>1273</v>
      </c>
      <c r="F912" t="s">
        <v>1274</v>
      </c>
      <c r="G912" s="6">
        <v>46198</v>
      </c>
      <c r="H912" t="s">
        <v>18</v>
      </c>
      <c r="I912" t="s">
        <v>539</v>
      </c>
      <c r="J912">
        <f t="shared" si="21"/>
        <v>100</v>
      </c>
    </row>
    <row r="913" spans="1:11" ht="15" hidden="1">
      <c r="A913" s="6">
        <v>46198</v>
      </c>
      <c r="B913" t="s">
        <v>186</v>
      </c>
      <c r="C913" t="s">
        <v>203</v>
      </c>
      <c r="D913" t="s">
        <v>1203</v>
      </c>
      <c r="E913" t="s">
        <v>258</v>
      </c>
      <c r="F913" s="7" t="s">
        <v>1272</v>
      </c>
      <c r="G913" s="6">
        <v>46198</v>
      </c>
      <c r="H913" t="s">
        <v>18</v>
      </c>
      <c r="I913" t="s">
        <v>539</v>
      </c>
      <c r="J913">
        <f t="shared" si="21"/>
        <v>100</v>
      </c>
    </row>
    <row r="914" spans="1:11" hidden="1">
      <c r="A914" s="6">
        <v>46198</v>
      </c>
      <c r="B914" t="s">
        <v>186</v>
      </c>
      <c r="C914" t="s">
        <v>203</v>
      </c>
      <c r="D914" t="s">
        <v>1203</v>
      </c>
      <c r="E914" t="s">
        <v>1273</v>
      </c>
      <c r="F914" t="s">
        <v>1274</v>
      </c>
      <c r="G914" s="6">
        <v>46198</v>
      </c>
      <c r="H914" t="s">
        <v>18</v>
      </c>
      <c r="I914" t="s">
        <v>539</v>
      </c>
      <c r="J914">
        <f t="shared" si="21"/>
        <v>100</v>
      </c>
    </row>
    <row r="915" spans="1:11" ht="15" hidden="1">
      <c r="A915" s="6">
        <v>46198</v>
      </c>
      <c r="B915" t="s">
        <v>768</v>
      </c>
      <c r="C915" t="s">
        <v>203</v>
      </c>
      <c r="D915" t="s">
        <v>1203</v>
      </c>
      <c r="E915" t="s">
        <v>258</v>
      </c>
      <c r="F915" s="7" t="s">
        <v>1275</v>
      </c>
      <c r="G915" s="6">
        <v>46198</v>
      </c>
      <c r="H915" t="s">
        <v>18</v>
      </c>
      <c r="I915" t="s">
        <v>19</v>
      </c>
    </row>
    <row r="916" spans="1:11" hidden="1">
      <c r="A916" s="6">
        <v>46198</v>
      </c>
      <c r="B916" t="s">
        <v>768</v>
      </c>
      <c r="C916" t="s">
        <v>203</v>
      </c>
      <c r="D916" t="s">
        <v>1203</v>
      </c>
      <c r="E916" t="s">
        <v>1276</v>
      </c>
      <c r="F916" t="s">
        <v>1277</v>
      </c>
      <c r="G916" s="6">
        <v>46198</v>
      </c>
      <c r="H916" t="s">
        <v>18</v>
      </c>
      <c r="I916" t="s">
        <v>19</v>
      </c>
    </row>
    <row r="917" spans="1:11" hidden="1">
      <c r="A917" s="6">
        <v>46199</v>
      </c>
      <c r="B917" t="s">
        <v>701</v>
      </c>
      <c r="C917" t="s">
        <v>498</v>
      </c>
      <c r="D917" t="s">
        <v>497</v>
      </c>
      <c r="E917" t="s">
        <v>1278</v>
      </c>
      <c r="F917" t="s">
        <v>40</v>
      </c>
      <c r="G917" s="6">
        <v>46199</v>
      </c>
      <c r="H917" t="s">
        <v>541</v>
      </c>
      <c r="I917" t="s">
        <v>539</v>
      </c>
      <c r="J917">
        <f t="shared" si="21"/>
        <v>100</v>
      </c>
      <c r="K917" t="s">
        <v>483</v>
      </c>
    </row>
    <row r="918" spans="1:11" hidden="1">
      <c r="A918" s="6">
        <v>46199</v>
      </c>
      <c r="B918" t="s">
        <v>701</v>
      </c>
      <c r="C918" t="s">
        <v>498</v>
      </c>
      <c r="D918" t="s">
        <v>497</v>
      </c>
      <c r="E918" t="s">
        <v>1279</v>
      </c>
      <c r="F918" t="s">
        <v>1280</v>
      </c>
      <c r="G918" s="6">
        <v>46199</v>
      </c>
      <c r="H918" t="s">
        <v>541</v>
      </c>
      <c r="I918" t="s">
        <v>1281</v>
      </c>
      <c r="J918">
        <v>100</v>
      </c>
      <c r="K918" t="s">
        <v>483</v>
      </c>
    </row>
    <row r="919" spans="1:11" hidden="1">
      <c r="A919" s="6">
        <v>46199</v>
      </c>
      <c r="B919" t="s">
        <v>701</v>
      </c>
      <c r="C919" t="s">
        <v>498</v>
      </c>
      <c r="D919" t="s">
        <v>497</v>
      </c>
      <c r="E919" t="s">
        <v>1282</v>
      </c>
      <c r="F919" t="s">
        <v>1283</v>
      </c>
      <c r="G919" s="6">
        <v>46199</v>
      </c>
      <c r="H919" t="s">
        <v>541</v>
      </c>
      <c r="I919" t="s">
        <v>1281</v>
      </c>
      <c r="J919">
        <v>100</v>
      </c>
      <c r="K919" t="s">
        <v>483</v>
      </c>
    </row>
    <row r="920" spans="1:11" hidden="1">
      <c r="A920" s="6">
        <v>46199</v>
      </c>
      <c r="B920" t="s">
        <v>234</v>
      </c>
      <c r="C920" t="s">
        <v>203</v>
      </c>
      <c r="D920" t="s">
        <v>1203</v>
      </c>
      <c r="E920" t="s">
        <v>1284</v>
      </c>
      <c r="F920" t="s">
        <v>1285</v>
      </c>
      <c r="G920" s="6">
        <v>46199</v>
      </c>
      <c r="H920" t="s">
        <v>18</v>
      </c>
      <c r="I920" t="s">
        <v>19</v>
      </c>
      <c r="J920">
        <f t="shared" si="21"/>
        <v>100</v>
      </c>
    </row>
    <row r="921" spans="1:11" hidden="1">
      <c r="A921" s="6">
        <v>46199</v>
      </c>
      <c r="B921" t="s">
        <v>768</v>
      </c>
      <c r="C921" t="s">
        <v>203</v>
      </c>
      <c r="D921" t="s">
        <v>1203</v>
      </c>
      <c r="E921" t="s">
        <v>409</v>
      </c>
      <c r="F921" t="s">
        <v>1286</v>
      </c>
      <c r="G921" s="6">
        <v>46199</v>
      </c>
      <c r="H921" t="s">
        <v>18</v>
      </c>
      <c r="I921" t="s">
        <v>19</v>
      </c>
      <c r="J921">
        <f t="shared" si="21"/>
        <v>100</v>
      </c>
    </row>
    <row r="922" spans="1:11" hidden="1">
      <c r="A922" s="6">
        <v>46202</v>
      </c>
      <c r="B922" t="s">
        <v>768</v>
      </c>
      <c r="C922" t="s">
        <v>203</v>
      </c>
      <c r="D922" t="s">
        <v>1203</v>
      </c>
      <c r="E922" t="s">
        <v>1287</v>
      </c>
      <c r="F922" t="s">
        <v>1288</v>
      </c>
      <c r="G922" s="6">
        <v>46202</v>
      </c>
      <c r="H922" t="s">
        <v>57</v>
      </c>
      <c r="I922" t="s">
        <v>19</v>
      </c>
      <c r="J922">
        <f t="shared" si="21"/>
        <v>100</v>
      </c>
    </row>
    <row r="923" spans="1:11" hidden="1">
      <c r="A923" s="6">
        <v>46202</v>
      </c>
      <c r="B923" t="s">
        <v>234</v>
      </c>
      <c r="C923" t="s">
        <v>203</v>
      </c>
      <c r="D923" t="s">
        <v>1203</v>
      </c>
      <c r="E923" t="s">
        <v>1289</v>
      </c>
      <c r="F923" t="s">
        <v>1288</v>
      </c>
      <c r="G923" s="6">
        <v>46202</v>
      </c>
      <c r="H923" t="s">
        <v>18</v>
      </c>
      <c r="I923" t="s">
        <v>19</v>
      </c>
      <c r="J923">
        <f t="shared" si="21"/>
        <v>100</v>
      </c>
    </row>
    <row r="924" spans="1:11" hidden="1">
      <c r="A924" s="6">
        <v>46202</v>
      </c>
      <c r="B924" t="s">
        <v>234</v>
      </c>
      <c r="C924" t="s">
        <v>203</v>
      </c>
      <c r="D924" t="s">
        <v>1203</v>
      </c>
      <c r="E924" t="s">
        <v>1290</v>
      </c>
      <c r="F924" t="s">
        <v>1291</v>
      </c>
      <c r="G924" s="6">
        <v>46202</v>
      </c>
      <c r="H924" t="s">
        <v>18</v>
      </c>
      <c r="I924" t="s">
        <v>19</v>
      </c>
      <c r="J924">
        <f t="shared" si="21"/>
        <v>100</v>
      </c>
    </row>
    <row r="925" spans="1:11" hidden="1">
      <c r="A925" s="6">
        <v>46202</v>
      </c>
      <c r="B925" t="s">
        <v>1235</v>
      </c>
      <c r="C925" t="s">
        <v>1256</v>
      </c>
      <c r="D925" t="s">
        <v>176</v>
      </c>
      <c r="E925" t="s">
        <v>1292</v>
      </c>
      <c r="F925" t="s">
        <v>1293</v>
      </c>
      <c r="G925" s="6">
        <v>46202</v>
      </c>
      <c r="H925" t="s">
        <v>18</v>
      </c>
      <c r="I925" t="s">
        <v>19</v>
      </c>
      <c r="J925">
        <f t="shared" si="21"/>
        <v>100</v>
      </c>
    </row>
    <row r="926" spans="1:11" hidden="1">
      <c r="A926" s="6">
        <v>46202</v>
      </c>
      <c r="B926" t="s">
        <v>1235</v>
      </c>
      <c r="C926" t="s">
        <v>1256</v>
      </c>
      <c r="D926" t="s">
        <v>176</v>
      </c>
      <c r="E926" t="s">
        <v>1294</v>
      </c>
      <c r="F926" t="s">
        <v>1295</v>
      </c>
      <c r="G926" s="6">
        <v>46202</v>
      </c>
      <c r="H926" t="s">
        <v>18</v>
      </c>
      <c r="I926" t="s">
        <v>19</v>
      </c>
      <c r="J926">
        <f t="shared" si="21"/>
        <v>100</v>
      </c>
    </row>
    <row r="927" spans="1:11" hidden="1">
      <c r="A927" s="6">
        <v>46202</v>
      </c>
      <c r="B927" t="s">
        <v>1235</v>
      </c>
      <c r="C927" t="s">
        <v>1256</v>
      </c>
      <c r="D927" t="s">
        <v>176</v>
      </c>
      <c r="E927" t="s">
        <v>1296</v>
      </c>
      <c r="F927" t="s">
        <v>1297</v>
      </c>
      <c r="G927" s="6">
        <v>46202</v>
      </c>
      <c r="H927" t="s">
        <v>18</v>
      </c>
      <c r="I927" t="s">
        <v>19</v>
      </c>
      <c r="J927">
        <f t="shared" si="21"/>
        <v>100</v>
      </c>
    </row>
    <row r="928" spans="1:11" hidden="1">
      <c r="A928" s="6">
        <v>46202</v>
      </c>
      <c r="B928" t="s">
        <v>170</v>
      </c>
      <c r="C928" t="s">
        <v>171</v>
      </c>
      <c r="D928" t="s">
        <v>15</v>
      </c>
      <c r="E928" t="s">
        <v>1298</v>
      </c>
      <c r="F928" t="s">
        <v>1299</v>
      </c>
      <c r="G928" s="6">
        <v>46202</v>
      </c>
      <c r="H928" t="s">
        <v>18</v>
      </c>
      <c r="I928" t="s">
        <v>19</v>
      </c>
      <c r="J928">
        <f t="shared" ref="J928:J991" si="23">IF(I928="Completed",100,IF(I928="Ongoing",50,IF(I928="For Review",75,IF(I928="Delayed",30,0))))</f>
        <v>100</v>
      </c>
    </row>
    <row r="929" spans="1:10" hidden="1">
      <c r="A929" s="6">
        <v>46202</v>
      </c>
      <c r="B929" t="s">
        <v>404</v>
      </c>
      <c r="C929" t="s">
        <v>162</v>
      </c>
      <c r="D929" t="s">
        <v>1203</v>
      </c>
      <c r="E929" t="s">
        <v>1300</v>
      </c>
      <c r="F929" t="s">
        <v>1301</v>
      </c>
      <c r="G929" s="6">
        <v>46202</v>
      </c>
      <c r="H929" t="s">
        <v>541</v>
      </c>
      <c r="I929" t="s">
        <v>1302</v>
      </c>
      <c r="J929">
        <v>100</v>
      </c>
    </row>
    <row r="930" spans="1:10" hidden="1">
      <c r="A930" s="6">
        <v>46202</v>
      </c>
      <c r="B930" t="s">
        <v>186</v>
      </c>
      <c r="C930" t="s">
        <v>162</v>
      </c>
      <c r="D930" t="s">
        <v>1203</v>
      </c>
      <c r="E930" t="s">
        <v>1300</v>
      </c>
      <c r="F930" t="s">
        <v>1301</v>
      </c>
      <c r="G930" s="6">
        <v>46202</v>
      </c>
      <c r="H930" t="s">
        <v>541</v>
      </c>
      <c r="I930" t="s">
        <v>1302</v>
      </c>
      <c r="J930">
        <v>100</v>
      </c>
    </row>
    <row r="931" spans="1:10" hidden="1">
      <c r="A931" s="6">
        <v>46202</v>
      </c>
      <c r="B931" t="s">
        <v>435</v>
      </c>
      <c r="C931" t="s">
        <v>243</v>
      </c>
      <c r="D931" t="s">
        <v>1203</v>
      </c>
      <c r="E931" t="s">
        <v>1300</v>
      </c>
      <c r="F931" t="s">
        <v>1301</v>
      </c>
      <c r="G931" s="6">
        <v>46202</v>
      </c>
      <c r="H931" t="s">
        <v>541</v>
      </c>
      <c r="I931" t="s">
        <v>1302</v>
      </c>
      <c r="J931">
        <v>100</v>
      </c>
    </row>
    <row r="932" spans="1:10">
      <c r="G932" s="6"/>
      <c r="J932">
        <f t="shared" si="23"/>
        <v>0</v>
      </c>
    </row>
    <row r="933" spans="1:10">
      <c r="G933" s="6"/>
      <c r="J933">
        <f t="shared" si="23"/>
        <v>0</v>
      </c>
    </row>
    <row r="934" spans="1:10">
      <c r="J934">
        <f t="shared" si="23"/>
        <v>0</v>
      </c>
    </row>
    <row r="935" spans="1:10">
      <c r="J935">
        <f t="shared" si="23"/>
        <v>0</v>
      </c>
    </row>
    <row r="936" spans="1:10">
      <c r="J936">
        <f t="shared" si="23"/>
        <v>0</v>
      </c>
    </row>
    <row r="937" spans="1:10">
      <c r="J937">
        <f t="shared" si="23"/>
        <v>0</v>
      </c>
    </row>
    <row r="938" spans="1:10">
      <c r="J938">
        <f t="shared" si="23"/>
        <v>0</v>
      </c>
    </row>
    <row r="939" spans="1:10">
      <c r="J939">
        <f t="shared" si="23"/>
        <v>0</v>
      </c>
    </row>
    <row r="940" spans="1:10">
      <c r="J940">
        <f t="shared" si="23"/>
        <v>0</v>
      </c>
    </row>
    <row r="941" spans="1:10">
      <c r="J941">
        <f t="shared" si="23"/>
        <v>0</v>
      </c>
    </row>
    <row r="942" spans="1:10">
      <c r="J942">
        <f t="shared" si="23"/>
        <v>0</v>
      </c>
    </row>
    <row r="943" spans="1:10">
      <c r="J943">
        <f t="shared" si="23"/>
        <v>0</v>
      </c>
    </row>
    <row r="944" spans="1:10">
      <c r="J944">
        <f t="shared" si="23"/>
        <v>0</v>
      </c>
    </row>
    <row r="945" spans="10:10">
      <c r="J945">
        <f t="shared" si="23"/>
        <v>0</v>
      </c>
    </row>
    <row r="946" spans="10:10">
      <c r="J946">
        <f t="shared" si="23"/>
        <v>0</v>
      </c>
    </row>
    <row r="947" spans="10:10">
      <c r="J947">
        <f t="shared" si="23"/>
        <v>0</v>
      </c>
    </row>
    <row r="948" spans="10:10">
      <c r="J948">
        <f t="shared" si="23"/>
        <v>0</v>
      </c>
    </row>
    <row r="949" spans="10:10">
      <c r="J949">
        <f t="shared" si="23"/>
        <v>0</v>
      </c>
    </row>
    <row r="950" spans="10:10">
      <c r="J950">
        <f t="shared" si="23"/>
        <v>0</v>
      </c>
    </row>
    <row r="951" spans="10:10">
      <c r="J951">
        <f t="shared" si="23"/>
        <v>0</v>
      </c>
    </row>
    <row r="952" spans="10:10">
      <c r="J952">
        <f t="shared" si="23"/>
        <v>0</v>
      </c>
    </row>
    <row r="953" spans="10:10">
      <c r="J953">
        <f t="shared" si="23"/>
        <v>0</v>
      </c>
    </row>
    <row r="954" spans="10:10">
      <c r="J954">
        <f t="shared" si="23"/>
        <v>0</v>
      </c>
    </row>
    <row r="955" spans="10:10">
      <c r="J955">
        <f t="shared" si="23"/>
        <v>0</v>
      </c>
    </row>
    <row r="956" spans="10:10">
      <c r="J956">
        <f t="shared" si="23"/>
        <v>0</v>
      </c>
    </row>
    <row r="957" spans="10:10">
      <c r="J957">
        <f t="shared" si="23"/>
        <v>0</v>
      </c>
    </row>
    <row r="958" spans="10:10">
      <c r="J958">
        <f t="shared" si="23"/>
        <v>0</v>
      </c>
    </row>
    <row r="959" spans="10:10">
      <c r="J959">
        <f t="shared" si="23"/>
        <v>0</v>
      </c>
    </row>
    <row r="960" spans="10:10">
      <c r="J960">
        <f t="shared" si="23"/>
        <v>0</v>
      </c>
    </row>
    <row r="961" spans="10:10">
      <c r="J961">
        <f t="shared" si="23"/>
        <v>0</v>
      </c>
    </row>
    <row r="962" spans="10:10">
      <c r="J962">
        <f t="shared" si="23"/>
        <v>0</v>
      </c>
    </row>
    <row r="963" spans="10:10">
      <c r="J963">
        <f t="shared" si="23"/>
        <v>0</v>
      </c>
    </row>
    <row r="964" spans="10:10">
      <c r="J964">
        <f t="shared" si="23"/>
        <v>0</v>
      </c>
    </row>
    <row r="965" spans="10:10">
      <c r="J965">
        <f t="shared" si="23"/>
        <v>0</v>
      </c>
    </row>
    <row r="966" spans="10:10">
      <c r="J966">
        <f t="shared" si="23"/>
        <v>0</v>
      </c>
    </row>
    <row r="967" spans="10:10">
      <c r="J967">
        <f t="shared" si="23"/>
        <v>0</v>
      </c>
    </row>
    <row r="968" spans="10:10">
      <c r="J968">
        <f t="shared" si="23"/>
        <v>0</v>
      </c>
    </row>
    <row r="969" spans="10:10">
      <c r="J969">
        <f t="shared" si="23"/>
        <v>0</v>
      </c>
    </row>
    <row r="970" spans="10:10">
      <c r="J970">
        <f t="shared" si="23"/>
        <v>0</v>
      </c>
    </row>
    <row r="971" spans="10:10">
      <c r="J971">
        <f t="shared" si="23"/>
        <v>0</v>
      </c>
    </row>
    <row r="972" spans="10:10">
      <c r="J972">
        <f t="shared" si="23"/>
        <v>0</v>
      </c>
    </row>
    <row r="973" spans="10:10">
      <c r="J973">
        <f t="shared" si="23"/>
        <v>0</v>
      </c>
    </row>
    <row r="974" spans="10:10">
      <c r="J974">
        <f t="shared" si="23"/>
        <v>0</v>
      </c>
    </row>
    <row r="975" spans="10:10">
      <c r="J975">
        <f t="shared" si="23"/>
        <v>0</v>
      </c>
    </row>
    <row r="976" spans="10:10">
      <c r="J976">
        <f t="shared" si="23"/>
        <v>0</v>
      </c>
    </row>
    <row r="977" spans="10:10">
      <c r="J977">
        <f t="shared" si="23"/>
        <v>0</v>
      </c>
    </row>
    <row r="978" spans="10:10">
      <c r="J978">
        <f t="shared" si="23"/>
        <v>0</v>
      </c>
    </row>
    <row r="979" spans="10:10">
      <c r="J979">
        <f t="shared" si="23"/>
        <v>0</v>
      </c>
    </row>
    <row r="980" spans="10:10">
      <c r="J980">
        <f t="shared" si="23"/>
        <v>0</v>
      </c>
    </row>
    <row r="981" spans="10:10">
      <c r="J981">
        <f t="shared" si="23"/>
        <v>0</v>
      </c>
    </row>
    <row r="982" spans="10:10">
      <c r="J982">
        <f t="shared" si="23"/>
        <v>0</v>
      </c>
    </row>
    <row r="983" spans="10:10">
      <c r="J983">
        <f t="shared" si="23"/>
        <v>0</v>
      </c>
    </row>
    <row r="984" spans="10:10">
      <c r="J984">
        <f t="shared" si="23"/>
        <v>0</v>
      </c>
    </row>
    <row r="985" spans="10:10">
      <c r="J985">
        <f t="shared" si="23"/>
        <v>0</v>
      </c>
    </row>
    <row r="986" spans="10:10">
      <c r="J986">
        <f t="shared" si="23"/>
        <v>0</v>
      </c>
    </row>
    <row r="987" spans="10:10">
      <c r="J987">
        <f t="shared" si="23"/>
        <v>0</v>
      </c>
    </row>
    <row r="988" spans="10:10">
      <c r="J988">
        <f t="shared" si="23"/>
        <v>0</v>
      </c>
    </row>
    <row r="989" spans="10:10">
      <c r="J989">
        <f t="shared" si="23"/>
        <v>0</v>
      </c>
    </row>
    <row r="990" spans="10:10">
      <c r="J990">
        <f t="shared" si="23"/>
        <v>0</v>
      </c>
    </row>
    <row r="991" spans="10:10">
      <c r="J991">
        <f t="shared" si="23"/>
        <v>0</v>
      </c>
    </row>
    <row r="992" spans="10:10">
      <c r="J992">
        <f t="shared" ref="J992:J1055" si="24">IF(I992="Completed",100,IF(I992="Ongoing",50,IF(I992="For Review",75,IF(I992="Delayed",30,0))))</f>
        <v>0</v>
      </c>
    </row>
    <row r="993" spans="10:10">
      <c r="J993">
        <f t="shared" si="24"/>
        <v>0</v>
      </c>
    </row>
    <row r="994" spans="10:10">
      <c r="J994">
        <f t="shared" si="24"/>
        <v>0</v>
      </c>
    </row>
    <row r="995" spans="10:10">
      <c r="J995">
        <f t="shared" si="24"/>
        <v>0</v>
      </c>
    </row>
    <row r="996" spans="10:10">
      <c r="J996">
        <f t="shared" si="24"/>
        <v>0</v>
      </c>
    </row>
    <row r="997" spans="10:10">
      <c r="J997">
        <f t="shared" si="24"/>
        <v>0</v>
      </c>
    </row>
    <row r="998" spans="10:10">
      <c r="J998">
        <f t="shared" si="24"/>
        <v>0</v>
      </c>
    </row>
    <row r="999" spans="10:10">
      <c r="J999">
        <f t="shared" si="24"/>
        <v>0</v>
      </c>
    </row>
    <row r="1000" spans="10:10">
      <c r="J1000">
        <f t="shared" si="24"/>
        <v>0</v>
      </c>
    </row>
    <row r="1001" spans="10:10">
      <c r="J1001">
        <f t="shared" si="24"/>
        <v>0</v>
      </c>
    </row>
    <row r="1002" spans="10:10">
      <c r="J1002">
        <f t="shared" si="24"/>
        <v>0</v>
      </c>
    </row>
    <row r="1003" spans="10:10">
      <c r="J1003">
        <f t="shared" si="24"/>
        <v>0</v>
      </c>
    </row>
    <row r="1004" spans="10:10">
      <c r="J1004">
        <f t="shared" si="24"/>
        <v>0</v>
      </c>
    </row>
    <row r="1005" spans="10:10">
      <c r="J1005">
        <f t="shared" si="24"/>
        <v>0</v>
      </c>
    </row>
    <row r="1006" spans="10:10">
      <c r="J1006">
        <f t="shared" si="24"/>
        <v>0</v>
      </c>
    </row>
    <row r="1007" spans="10:10">
      <c r="J1007">
        <f t="shared" si="24"/>
        <v>0</v>
      </c>
    </row>
    <row r="1008" spans="10:10">
      <c r="J1008">
        <f t="shared" si="24"/>
        <v>0</v>
      </c>
    </row>
    <row r="1009" spans="10:10">
      <c r="J1009">
        <f t="shared" si="24"/>
        <v>0</v>
      </c>
    </row>
    <row r="1010" spans="10:10">
      <c r="J1010">
        <f t="shared" si="24"/>
        <v>0</v>
      </c>
    </row>
    <row r="1011" spans="10:10">
      <c r="J1011">
        <f t="shared" si="24"/>
        <v>0</v>
      </c>
    </row>
    <row r="1012" spans="10:10">
      <c r="J1012">
        <f t="shared" si="24"/>
        <v>0</v>
      </c>
    </row>
    <row r="1013" spans="10:10">
      <c r="J1013">
        <f t="shared" si="24"/>
        <v>0</v>
      </c>
    </row>
    <row r="1014" spans="10:10">
      <c r="J1014">
        <f t="shared" si="24"/>
        <v>0</v>
      </c>
    </row>
    <row r="1015" spans="10:10">
      <c r="J1015">
        <f t="shared" si="24"/>
        <v>0</v>
      </c>
    </row>
    <row r="1016" spans="10:10">
      <c r="J1016">
        <f t="shared" si="24"/>
        <v>0</v>
      </c>
    </row>
    <row r="1017" spans="10:10">
      <c r="J1017">
        <f t="shared" si="24"/>
        <v>0</v>
      </c>
    </row>
    <row r="1018" spans="10:10">
      <c r="J1018">
        <f t="shared" si="24"/>
        <v>0</v>
      </c>
    </row>
    <row r="1019" spans="10:10">
      <c r="J1019">
        <f t="shared" si="24"/>
        <v>0</v>
      </c>
    </row>
    <row r="1020" spans="10:10">
      <c r="J1020">
        <f t="shared" si="24"/>
        <v>0</v>
      </c>
    </row>
    <row r="1021" spans="10:10">
      <c r="J1021">
        <f t="shared" si="24"/>
        <v>0</v>
      </c>
    </row>
    <row r="1022" spans="10:10">
      <c r="J1022">
        <f t="shared" si="24"/>
        <v>0</v>
      </c>
    </row>
    <row r="1023" spans="10:10">
      <c r="J1023">
        <f t="shared" si="24"/>
        <v>0</v>
      </c>
    </row>
    <row r="1024" spans="10:10">
      <c r="J1024">
        <f t="shared" si="24"/>
        <v>0</v>
      </c>
    </row>
    <row r="1025" spans="10:10">
      <c r="J1025">
        <f t="shared" si="24"/>
        <v>0</v>
      </c>
    </row>
    <row r="1026" spans="10:10">
      <c r="J1026">
        <f t="shared" si="24"/>
        <v>0</v>
      </c>
    </row>
    <row r="1027" spans="10:10">
      <c r="J1027">
        <f t="shared" si="24"/>
        <v>0</v>
      </c>
    </row>
    <row r="1028" spans="10:10">
      <c r="J1028">
        <f t="shared" si="24"/>
        <v>0</v>
      </c>
    </row>
    <row r="1029" spans="10:10">
      <c r="J1029">
        <f t="shared" si="24"/>
        <v>0</v>
      </c>
    </row>
    <row r="1030" spans="10:10">
      <c r="J1030">
        <f t="shared" si="24"/>
        <v>0</v>
      </c>
    </row>
    <row r="1031" spans="10:10">
      <c r="J1031">
        <f t="shared" si="24"/>
        <v>0</v>
      </c>
    </row>
    <row r="1032" spans="10:10">
      <c r="J1032">
        <f t="shared" si="24"/>
        <v>0</v>
      </c>
    </row>
    <row r="1033" spans="10:10">
      <c r="J1033">
        <f t="shared" si="24"/>
        <v>0</v>
      </c>
    </row>
    <row r="1034" spans="10:10">
      <c r="J1034">
        <f t="shared" si="24"/>
        <v>0</v>
      </c>
    </row>
    <row r="1035" spans="10:10">
      <c r="J1035">
        <f t="shared" si="24"/>
        <v>0</v>
      </c>
    </row>
    <row r="1036" spans="10:10">
      <c r="J1036">
        <f t="shared" si="24"/>
        <v>0</v>
      </c>
    </row>
    <row r="1037" spans="10:10">
      <c r="J1037">
        <f t="shared" si="24"/>
        <v>0</v>
      </c>
    </row>
    <row r="1038" spans="10:10">
      <c r="J1038">
        <f t="shared" si="24"/>
        <v>0</v>
      </c>
    </row>
    <row r="1039" spans="10:10">
      <c r="J1039">
        <f t="shared" si="24"/>
        <v>0</v>
      </c>
    </row>
    <row r="1040" spans="10:10">
      <c r="J1040">
        <f t="shared" si="24"/>
        <v>0</v>
      </c>
    </row>
    <row r="1041" spans="10:10">
      <c r="J1041">
        <f t="shared" si="24"/>
        <v>0</v>
      </c>
    </row>
    <row r="1042" spans="10:10">
      <c r="J1042">
        <f t="shared" si="24"/>
        <v>0</v>
      </c>
    </row>
    <row r="1043" spans="10:10">
      <c r="J1043">
        <f t="shared" si="24"/>
        <v>0</v>
      </c>
    </row>
    <row r="1044" spans="10:10">
      <c r="J1044">
        <f t="shared" si="24"/>
        <v>0</v>
      </c>
    </row>
    <row r="1045" spans="10:10">
      <c r="J1045">
        <f t="shared" si="24"/>
        <v>0</v>
      </c>
    </row>
    <row r="1046" spans="10:10">
      <c r="J1046">
        <f t="shared" si="24"/>
        <v>0</v>
      </c>
    </row>
    <row r="1047" spans="10:10">
      <c r="J1047">
        <f t="shared" si="24"/>
        <v>0</v>
      </c>
    </row>
    <row r="1048" spans="10:10">
      <c r="J1048">
        <f t="shared" si="24"/>
        <v>0</v>
      </c>
    </row>
    <row r="1049" spans="10:10">
      <c r="J1049">
        <f t="shared" si="24"/>
        <v>0</v>
      </c>
    </row>
    <row r="1050" spans="10:10">
      <c r="J1050">
        <f t="shared" si="24"/>
        <v>0</v>
      </c>
    </row>
    <row r="1051" spans="10:10">
      <c r="J1051">
        <f t="shared" si="24"/>
        <v>0</v>
      </c>
    </row>
    <row r="1052" spans="10:10">
      <c r="J1052">
        <f t="shared" si="24"/>
        <v>0</v>
      </c>
    </row>
    <row r="1053" spans="10:10">
      <c r="J1053">
        <f t="shared" si="24"/>
        <v>0</v>
      </c>
    </row>
    <row r="1054" spans="10:10">
      <c r="J1054">
        <f t="shared" si="24"/>
        <v>0</v>
      </c>
    </row>
    <row r="1055" spans="10:10">
      <c r="J1055">
        <f t="shared" si="24"/>
        <v>0</v>
      </c>
    </row>
    <row r="1056" spans="10:10">
      <c r="J1056">
        <f t="shared" ref="J1056:J1119" si="25">IF(I1056="Completed",100,IF(I1056="Ongoing",50,IF(I1056="For Review",75,IF(I1056="Delayed",30,0))))</f>
        <v>0</v>
      </c>
    </row>
    <row r="1057" spans="10:10">
      <c r="J1057">
        <f t="shared" si="25"/>
        <v>0</v>
      </c>
    </row>
    <row r="1058" spans="10:10">
      <c r="J1058">
        <f t="shared" si="25"/>
        <v>0</v>
      </c>
    </row>
    <row r="1059" spans="10:10">
      <c r="J1059">
        <f t="shared" si="25"/>
        <v>0</v>
      </c>
    </row>
    <row r="1060" spans="10:10">
      <c r="J1060">
        <f t="shared" si="25"/>
        <v>0</v>
      </c>
    </row>
    <row r="1061" spans="10:10">
      <c r="J1061">
        <f t="shared" si="25"/>
        <v>0</v>
      </c>
    </row>
    <row r="1062" spans="10:10">
      <c r="J1062">
        <f t="shared" si="25"/>
        <v>0</v>
      </c>
    </row>
    <row r="1063" spans="10:10">
      <c r="J1063">
        <f t="shared" si="25"/>
        <v>0</v>
      </c>
    </row>
    <row r="1064" spans="10:10">
      <c r="J1064">
        <f t="shared" si="25"/>
        <v>0</v>
      </c>
    </row>
    <row r="1065" spans="10:10">
      <c r="J1065">
        <f t="shared" si="25"/>
        <v>0</v>
      </c>
    </row>
    <row r="1066" spans="10:10">
      <c r="J1066">
        <f t="shared" si="25"/>
        <v>0</v>
      </c>
    </row>
    <row r="1067" spans="10:10">
      <c r="J1067">
        <f t="shared" si="25"/>
        <v>0</v>
      </c>
    </row>
    <row r="1068" spans="10:10">
      <c r="J1068">
        <f t="shared" si="25"/>
        <v>0</v>
      </c>
    </row>
    <row r="1069" spans="10:10">
      <c r="J1069">
        <f t="shared" si="25"/>
        <v>0</v>
      </c>
    </row>
    <row r="1070" spans="10:10">
      <c r="J1070">
        <f t="shared" si="25"/>
        <v>0</v>
      </c>
    </row>
    <row r="1071" spans="10:10">
      <c r="J1071">
        <f t="shared" si="25"/>
        <v>0</v>
      </c>
    </row>
    <row r="1072" spans="10:10">
      <c r="J1072">
        <f t="shared" si="25"/>
        <v>0</v>
      </c>
    </row>
    <row r="1073" spans="10:10">
      <c r="J1073">
        <f t="shared" si="25"/>
        <v>0</v>
      </c>
    </row>
    <row r="1074" spans="10:10">
      <c r="J1074">
        <f t="shared" si="25"/>
        <v>0</v>
      </c>
    </row>
    <row r="1075" spans="10:10">
      <c r="J1075">
        <f t="shared" si="25"/>
        <v>0</v>
      </c>
    </row>
    <row r="1076" spans="10:10">
      <c r="J1076">
        <f t="shared" si="25"/>
        <v>0</v>
      </c>
    </row>
    <row r="1077" spans="10:10">
      <c r="J1077">
        <f t="shared" si="25"/>
        <v>0</v>
      </c>
    </row>
    <row r="1078" spans="10:10">
      <c r="J1078">
        <f t="shared" si="25"/>
        <v>0</v>
      </c>
    </row>
    <row r="1079" spans="10:10">
      <c r="J1079">
        <f t="shared" si="25"/>
        <v>0</v>
      </c>
    </row>
    <row r="1080" spans="10:10">
      <c r="J1080">
        <f t="shared" si="25"/>
        <v>0</v>
      </c>
    </row>
    <row r="1081" spans="10:10">
      <c r="J1081">
        <f t="shared" si="25"/>
        <v>0</v>
      </c>
    </row>
    <row r="1082" spans="10:10">
      <c r="J1082">
        <f t="shared" si="25"/>
        <v>0</v>
      </c>
    </row>
    <row r="1083" spans="10:10">
      <c r="J1083">
        <f t="shared" si="25"/>
        <v>0</v>
      </c>
    </row>
    <row r="1084" spans="10:10">
      <c r="J1084">
        <f t="shared" si="25"/>
        <v>0</v>
      </c>
    </row>
    <row r="1085" spans="10:10">
      <c r="J1085">
        <f t="shared" si="25"/>
        <v>0</v>
      </c>
    </row>
    <row r="1086" spans="10:10">
      <c r="J1086">
        <f t="shared" si="25"/>
        <v>0</v>
      </c>
    </row>
    <row r="1087" spans="10:10">
      <c r="J1087">
        <f t="shared" si="25"/>
        <v>0</v>
      </c>
    </row>
    <row r="1088" spans="10:10">
      <c r="J1088">
        <f t="shared" si="25"/>
        <v>0</v>
      </c>
    </row>
    <row r="1089" spans="10:10">
      <c r="J1089">
        <f t="shared" si="25"/>
        <v>0</v>
      </c>
    </row>
    <row r="1090" spans="10:10">
      <c r="J1090">
        <f t="shared" si="25"/>
        <v>0</v>
      </c>
    </row>
    <row r="1091" spans="10:10">
      <c r="J1091">
        <f t="shared" si="25"/>
        <v>0</v>
      </c>
    </row>
    <row r="1092" spans="10:10">
      <c r="J1092">
        <f t="shared" si="25"/>
        <v>0</v>
      </c>
    </row>
    <row r="1093" spans="10:10">
      <c r="J1093">
        <f t="shared" si="25"/>
        <v>0</v>
      </c>
    </row>
    <row r="1094" spans="10:10">
      <c r="J1094">
        <f t="shared" si="25"/>
        <v>0</v>
      </c>
    </row>
    <row r="1095" spans="10:10">
      <c r="J1095">
        <f t="shared" si="25"/>
        <v>0</v>
      </c>
    </row>
    <row r="1096" spans="10:10">
      <c r="J1096">
        <f t="shared" si="25"/>
        <v>0</v>
      </c>
    </row>
    <row r="1097" spans="10:10">
      <c r="J1097">
        <f t="shared" si="25"/>
        <v>0</v>
      </c>
    </row>
    <row r="1098" spans="10:10">
      <c r="J1098">
        <f t="shared" si="25"/>
        <v>0</v>
      </c>
    </row>
    <row r="1099" spans="10:10">
      <c r="J1099">
        <f t="shared" si="25"/>
        <v>0</v>
      </c>
    </row>
    <row r="1100" spans="10:10">
      <c r="J1100">
        <f t="shared" si="25"/>
        <v>0</v>
      </c>
    </row>
    <row r="1101" spans="10:10">
      <c r="J1101">
        <f t="shared" si="25"/>
        <v>0</v>
      </c>
    </row>
    <row r="1102" spans="10:10">
      <c r="J1102">
        <f t="shared" si="25"/>
        <v>0</v>
      </c>
    </row>
    <row r="1103" spans="10:10">
      <c r="J1103">
        <f t="shared" si="25"/>
        <v>0</v>
      </c>
    </row>
    <row r="1104" spans="10:10">
      <c r="J1104">
        <f t="shared" si="25"/>
        <v>0</v>
      </c>
    </row>
    <row r="1105" spans="10:10">
      <c r="J1105">
        <f t="shared" si="25"/>
        <v>0</v>
      </c>
    </row>
    <row r="1106" spans="10:10">
      <c r="J1106">
        <f t="shared" si="25"/>
        <v>0</v>
      </c>
    </row>
    <row r="1107" spans="10:10">
      <c r="J1107">
        <f t="shared" si="25"/>
        <v>0</v>
      </c>
    </row>
    <row r="1108" spans="10:10">
      <c r="J1108">
        <f t="shared" si="25"/>
        <v>0</v>
      </c>
    </row>
    <row r="1109" spans="10:10">
      <c r="J1109">
        <f t="shared" si="25"/>
        <v>0</v>
      </c>
    </row>
    <row r="1110" spans="10:10">
      <c r="J1110">
        <f t="shared" si="25"/>
        <v>0</v>
      </c>
    </row>
    <row r="1111" spans="10:10">
      <c r="J1111">
        <f t="shared" si="25"/>
        <v>0</v>
      </c>
    </row>
    <row r="1112" spans="10:10">
      <c r="J1112">
        <f t="shared" si="25"/>
        <v>0</v>
      </c>
    </row>
    <row r="1113" spans="10:10">
      <c r="J1113">
        <f t="shared" si="25"/>
        <v>0</v>
      </c>
    </row>
    <row r="1114" spans="10:10">
      <c r="J1114">
        <f t="shared" si="25"/>
        <v>0</v>
      </c>
    </row>
    <row r="1115" spans="10:10">
      <c r="J1115">
        <f t="shared" si="25"/>
        <v>0</v>
      </c>
    </row>
    <row r="1116" spans="10:10">
      <c r="J1116">
        <f t="shared" si="25"/>
        <v>0</v>
      </c>
    </row>
    <row r="1117" spans="10:10">
      <c r="J1117">
        <f t="shared" si="25"/>
        <v>0</v>
      </c>
    </row>
    <row r="1118" spans="10:10">
      <c r="J1118">
        <f t="shared" si="25"/>
        <v>0</v>
      </c>
    </row>
    <row r="1119" spans="10:10">
      <c r="J1119">
        <f t="shared" si="25"/>
        <v>0</v>
      </c>
    </row>
    <row r="1120" spans="10:10">
      <c r="J1120">
        <f t="shared" ref="J1120:J1151" si="26">IF(I1120="Completed",100,IF(I1120="Ongoing",50,IF(I1120="For Review",75,IF(I1120="Delayed",30,0))))</f>
        <v>0</v>
      </c>
    </row>
    <row r="1121" spans="10:10">
      <c r="J1121">
        <f t="shared" si="26"/>
        <v>0</v>
      </c>
    </row>
    <row r="1122" spans="10:10">
      <c r="J1122">
        <f t="shared" si="26"/>
        <v>0</v>
      </c>
    </row>
    <row r="1123" spans="10:10">
      <c r="J1123">
        <f t="shared" si="26"/>
        <v>0</v>
      </c>
    </row>
    <row r="1124" spans="10:10">
      <c r="J1124">
        <f t="shared" si="26"/>
        <v>0</v>
      </c>
    </row>
    <row r="1125" spans="10:10">
      <c r="J1125">
        <f t="shared" si="26"/>
        <v>0</v>
      </c>
    </row>
    <row r="1126" spans="10:10">
      <c r="J1126">
        <f t="shared" si="26"/>
        <v>0</v>
      </c>
    </row>
    <row r="1127" spans="10:10">
      <c r="J1127">
        <f t="shared" si="26"/>
        <v>0</v>
      </c>
    </row>
    <row r="1128" spans="10:10">
      <c r="J1128">
        <f t="shared" si="26"/>
        <v>0</v>
      </c>
    </row>
    <row r="1129" spans="10:10">
      <c r="J1129">
        <f t="shared" si="26"/>
        <v>0</v>
      </c>
    </row>
    <row r="1130" spans="10:10">
      <c r="J1130">
        <f t="shared" si="26"/>
        <v>0</v>
      </c>
    </row>
    <row r="1131" spans="10:10">
      <c r="J1131">
        <f t="shared" si="26"/>
        <v>0</v>
      </c>
    </row>
    <row r="1132" spans="10:10">
      <c r="J1132">
        <f t="shared" si="26"/>
        <v>0</v>
      </c>
    </row>
    <row r="1133" spans="10:10">
      <c r="J1133">
        <f t="shared" si="26"/>
        <v>0</v>
      </c>
    </row>
    <row r="1134" spans="10:10">
      <c r="J1134">
        <f t="shared" si="26"/>
        <v>0</v>
      </c>
    </row>
    <row r="1135" spans="10:10">
      <c r="J1135">
        <f t="shared" si="26"/>
        <v>0</v>
      </c>
    </row>
    <row r="1136" spans="10:10">
      <c r="J1136">
        <f t="shared" si="26"/>
        <v>0</v>
      </c>
    </row>
    <row r="1137" spans="10:10">
      <c r="J1137">
        <f t="shared" si="26"/>
        <v>0</v>
      </c>
    </row>
    <row r="1138" spans="10:10">
      <c r="J1138">
        <f t="shared" si="26"/>
        <v>0</v>
      </c>
    </row>
    <row r="1139" spans="10:10">
      <c r="J1139">
        <f t="shared" si="26"/>
        <v>0</v>
      </c>
    </row>
    <row r="1140" spans="10:10">
      <c r="J1140">
        <f t="shared" si="26"/>
        <v>0</v>
      </c>
    </row>
    <row r="1141" spans="10:10">
      <c r="J1141">
        <f t="shared" si="26"/>
        <v>0</v>
      </c>
    </row>
    <row r="1142" spans="10:10">
      <c r="J1142">
        <f t="shared" si="26"/>
        <v>0</v>
      </c>
    </row>
    <row r="1143" spans="10:10">
      <c r="J1143">
        <f t="shared" si="26"/>
        <v>0</v>
      </c>
    </row>
    <row r="1144" spans="10:10">
      <c r="J1144">
        <f t="shared" si="26"/>
        <v>0</v>
      </c>
    </row>
    <row r="1145" spans="10:10">
      <c r="J1145">
        <f t="shared" si="26"/>
        <v>0</v>
      </c>
    </row>
    <row r="1146" spans="10:10">
      <c r="J1146">
        <f t="shared" si="26"/>
        <v>0</v>
      </c>
    </row>
    <row r="1147" spans="10:10">
      <c r="J1147">
        <f t="shared" si="26"/>
        <v>0</v>
      </c>
    </row>
    <row r="1148" spans="10:10">
      <c r="J1148">
        <f t="shared" si="26"/>
        <v>0</v>
      </c>
    </row>
    <row r="1149" spans="10:10">
      <c r="J1149">
        <f t="shared" si="26"/>
        <v>0</v>
      </c>
    </row>
    <row r="1150" spans="10:10">
      <c r="J1150">
        <f t="shared" si="26"/>
        <v>0</v>
      </c>
    </row>
    <row r="1151" spans="10:10">
      <c r="J1151">
        <f t="shared" si="26"/>
        <v>0</v>
      </c>
    </row>
    <row r="1154" spans="1:1">
      <c r="A1154" s="6"/>
    </row>
  </sheetData>
  <autoFilter ref="A2:M1151" xr:uid="{00000000-0001-0000-0000-000000000000}">
    <filterColumn colId="8">
      <filters blank="1">
        <filter val="Not started"/>
        <filter val="On going"/>
        <filter val="Ongoing"/>
      </filters>
    </filterColumn>
  </autoFilter>
  <mergeCells count="2">
    <mergeCell ref="K308:K311"/>
    <mergeCell ref="A1:K1"/>
  </mergeCells>
  <dataValidations count="3">
    <dataValidation type="list" allowBlank="1" sqref="D89 C90:C100 C200:C207 C102:C198 B255 C814 C274 C343:C344 C293:C294 C296 C300:C301 C308:C317 C332:C333 C335:C336 C341 C465:C469 C354 C364 C375 C384:C386 C366:C368 C415:C416 C420:C421 C437 C458 C462 C532:C533 C483:C484 C499:C505 C1153 C514:C517 C528:C529 C535:C537 C555 C574 C564:C565 C647 C656:C657 C211:C268 C781:C786 C802:C804 C806:C808 C851:C852 C862 C3:C88" xr:uid="{00000000-0002-0000-0000-000000000000}">
      <formula1>"School Registrar,Accountant/Bookkeeper,Alumni &amp; Placement Officer,Career Adviser,Admissions Officer,Cashier,Assets Custodian,Laboratory Head,Guidance Counselor,Librarian,School Nurse,Utility/Messenger,Security Personnel"</formula1>
    </dataValidation>
    <dataValidation type="list" allowBlank="1" sqref="H200:H207 H468:H469 H211:H268 H293 H332:H333 H366:H367 H3:H198" xr:uid="{00000000-0002-0000-0000-000001000000}">
      <formula1>"High,Medium,Low"</formula1>
    </dataValidation>
    <dataValidation type="list" allowBlank="1" sqref="H214:I214 I211:I213 I215:I268 I468:I469 I414:I417 I405:I411 I342:I402 I476:I477 I308:I311 I717 I487 I534 I596:I597 I616 I3:I207" xr:uid="{00000000-0002-0000-0000-000002000000}">
      <formula1>"Not Started,Ongoing,For Review,Completed,Delayed"</formula1>
    </dataValidation>
  </dataValidations>
  <hyperlinks>
    <hyperlink ref="M125" r:id="rId1" xr:uid="{23F46629-4C2E-493A-985E-07C5F1925020}"/>
    <hyperlink ref="M131" r:id="rId2" xr:uid="{940302DF-4F8E-490D-A98D-84031D6A4FD9}"/>
    <hyperlink ref="M135" r:id="rId3" display="https://stiedu-my.sharepoint.com/personal/michaelkim_palay_puertoprincesa_sti_edu/_layouts/15/onedrive.aspx?id=%2Fpersonal%2Fmichaelkim%5Fpalay%5Fpuertoprincesa%5Fsti%5Fedu%2FDocuments%2FRepository%20Faculty%20Members%2FRepository%20SY2526%2FREPOSITORY%202T2526%2FESTA%C3%91ERO%2C%20DIANA%2FEsta%C3%B1ero%20Accomplishment%20Supporting%20Documents%202026&amp;viewid=080e1a7c%2D27d6%2D482e%2Daa99%2D0b8e8943888e" xr:uid="{26E469B1-BF1B-4395-93AE-7A7B92DDA249}"/>
    <hyperlink ref="M91" r:id="rId4" display="https://stiedu-my.sharepoint.com/personal/michaelkim_palay_puertoprincesa_sti_edu/_layouts/15/onedrive.aspx?id=%2Fpersonal%2Fmichaelkim%5Fpalay%5Fpuertoprincesa%5Fsti%5Fedu%2FDocuments%2FRepository%20Faculty%20Members%2FRepository%20SY2526%2FREPOSITORY%202T2526%2FNARIO%2C%20FELY%20ERIKA%2FDocumentation&amp;viewid=080e1a7c%2D27d6%2D482e%2Daa99%2D0b8e8943888e" xr:uid="{C0CE78EF-1C3C-47F8-A176-04ABEB927935}"/>
    <hyperlink ref="M94" r:id="rId5" display="https://stiedu-my.sharepoint.com/personal/michaelkim_palay_puertoprincesa_sti_edu/_layouts/15/onedrive.aspx?id=%2Fpersonal%2Fmichaelkim%5Fpalay%5Fpuertoprincesa%5Fsti%5Fedu%2FDocuments%2FRepository%20Faculty%20Members%2FRepository%20SY2526%2FREPOSITORY%202T2526%2FNARIO%2C%20FELY%20ERIKA%2FDocumentation%2FFSD%20Panelists%20Invitation%20Letter&amp;viewid=080e1a7c%2D27d6%2D482e%2Daa99%2D0b8e8943888e" xr:uid="{D8ED5029-E66C-4F3E-AA2F-E52E24FF5719}"/>
    <hyperlink ref="M119" r:id="rId6" display="https://stiedu-my.sharepoint.com/personal/michaelkim_palay_puertoprincesa_sti_edu/_layouts/15/onedrive.aspx?id=%2Fpersonal%2Fmichaelkim%5Fpalay%5Fpuertoprincesa%5Fsti%5Fedu%2FDocuments%2FRepository%20Faculty%20Members%2FRepository%20SY2526%2FREPOSITORY%202T2526%2FNARIO%2C%20FELY%20ERIKA%2FDocumentation%2FBakers%20Camp&amp;viewid=080e1a7c%2D27d6%2D482e%2Daa99%2D0b8e8943888e" xr:uid="{75CB7E10-88E8-4ADE-8380-C77F738F7E11}"/>
    <hyperlink ref="M168" r:id="rId7" xr:uid="{DDC2C71B-22E4-4792-9C9A-73189E0F7363}"/>
    <hyperlink ref="M186" r:id="rId8" display="https://stiedu-my.sharepoint.com/personal/michaelkim_palay_puertoprincesa_sti_edu/_layouts/15/onedrive.aspx?id=%2Fpersonal%2Fmichaelkim%5Fpalay%5Fpuertoprincesa%5Fsti%5Fedu%2FDocuments%2FRepository%20Faculty%20Members%2FRepository%20SY2526%2FREPOSITORY%202T2526%2FMAPANAO%2C%20MARRY%20JUSSLE%2FActivities%20documentation&amp;viewid=080e1a7c%2D27d6%2D482e%2Daa99%2D0b8e8943888e" xr:uid="{C4B2A44F-07F3-4D34-887B-1E3D4683C476}"/>
    <hyperlink ref="M96" r:id="rId9" display="https://stiedu-my.sharepoint.com/personal/michaelkim_palay_puertoprincesa_sti_edu/_layouts/15/onedrive.aspx?id=%2Fpersonal%2Fmichaelkim%5Fpalay%5Fpuertoprincesa%5Fsti%5Fedu%2FDocuments%2FRepository%20Faculty%20Members%2FRepository%20SY2526%2FREPOSITORY%202T2526%2FNARIO%2C%20FELY%20ERIKA%2FDocumentation%2FFS%20Defense&amp;viewid=080e1a7c%2D27d6%2D482e%2Daa99%2D0b8e8943888e" xr:uid="{B43C1CE0-B0C8-42A0-9F5F-2D9F96E4192D}"/>
    <hyperlink ref="M221" r:id="rId10" display="https://stiedu-my.sharepoint.com/personal/michaelkim_palay_puertoprincesa_sti_edu/_layouts/15/onedrive.aspx?id=%2Fpersonal%2Fmichaelkim%5Fpalay%5Fpuertoprincesa%5Fsti%5Fedu%2FDocuments%2FRepository%20Faculty%20Members%2FRepository%20SY2526%2FREPOSITORY%202T2526%2FMAPANAO%2C%20MARRY%20JUSSLE&amp;viewid=080e1a7c%2D27d6%2D482e%2Daa99%2D0b8e8943888e" xr:uid="{09BEEE97-8796-464C-BD97-C72C93C6BC52}"/>
    <hyperlink ref="M265" r:id="rId11" xr:uid="{72D7B91F-20F5-4FC5-B1E8-E3D415F63DBB}"/>
    <hyperlink ref="M276" r:id="rId12" xr:uid="{10C38EF6-5AEB-4315-8DA4-1094EA45AA0F}"/>
    <hyperlink ref="M22" r:id="rId13" xr:uid="{EF0EC1F9-6592-48AF-8C66-29CA0286BFE4}"/>
    <hyperlink ref="M287" r:id="rId14" display="https://stiedu-my.sharepoint.com/personal/michaelkim_palay_puertoprincesa_sti_edu/_layouts/15/onedrive.aspx?viewid=080e1a7c%2D27d6%2D482e%2Daa99%2D0b8e8943888e&amp;id=%2Fpersonal%2Fmichaelkim%5Fpalay%5Fpuertoprincesa%5Fsti%5Fedu%2FDocuments%2FRepository%20Faculty%20Members%2FRepository%20SY2526%2FREPOSITORY%202T2526%2FMAPANAO%2C%20MARRY%20JUSSLE%2FActivities%20documentation%2FCAKE%20DECO%2Ejpg&amp;parent=%2Fpersonal%2Fmichaelkim%5Fpalay%5Fpuertoprincesa%5Fsti%5Fedu%2FDocuments%2FRepository%20Faculty%20Members%2FRepository%20SY2526%2FREPOSITORY%202T2526%2FMAPANAO%2C%20MARRY%20JUSSLE%2FActivities%20documentation" xr:uid="{5BFC5325-5BA6-4EA2-BD1A-7CAC81F9F34F}"/>
    <hyperlink ref="M325" r:id="rId15" display="https://stiedu-my.sharepoint.com/personal/michaelkim_palay_puertoprincesa_sti_edu/_layouts/15/onedrive.aspx?viewid=080e1a7c%2D27d6%2D482e%2Daa99%2D0b8e8943888e&amp;id=%2Fpersonal%2Fmichaelkim%5Fpalay%5Fpuertoprincesa%5Fsti%5Fedu%2FDocuments%2FRepository%20Faculty%20Members%2FRepository%20SY2526%2FREPOSITORY%202T2526%2FMAPANAO%2C%20MARRY%20JUSSLE%2FONLINE%20CLASS%20DOCUMENTATION%2FScreenshot%202026%2D05%2D09%20090017%2Epng&amp;parent=%2Fpersonal%2Fmichaelkim%5Fpalay%5Fpuertoprincesa%5Fsti%5Fedu%2FDocuments%2FRepository%20Faculty%20Members%2FRepository%20SY2526%2FREPOSITORY%202T2526%2FMAPANAO%2C%20MARRY%20JUSSLE%2FONLINE%20CLASS%20DOCUMENTATION" xr:uid="{5E9FB08C-E828-4824-9D02-95FDE1D6C7EF}"/>
    <hyperlink ref="M343" r:id="rId16" xr:uid="{0668FFBB-2540-4317-B1B5-709403687F18}"/>
    <hyperlink ref="M336" r:id="rId17" display="https://stiedu-my.sharepoint.com/personal/michaelkim_palay_puertoprincesa_sti_edu/_layouts/15/onedrive.aspx?id=%2Fpersonal%2Fmichaelkim%5Fpalay%5Fpuertoprincesa%5Fsti%5Fedu%2FDocuments%2FRepository%20Faculty%20Members%2FRepository%20SY2526%2FREPOSITORY%202T2526%2FMAPANAO%2C%20MARRY%20JUSSLE%2FSPE%20CHECKER&amp;viewid=080e1a7c%2D27d6%2D482e%2Daa99%2D0b8e8943888e" xr:uid="{A71A7DB3-9430-4805-A6D5-E6A577C870DE}"/>
    <hyperlink ref="M354" r:id="rId18" display="https://stiedu-my.sharepoint.com/personal/michaelkim_palay_puertoprincesa_sti_edu/_layouts/15/onedrive.aspx?id=%2Fpersonal%2Fmichaelkim%5Fpalay%5Fpuertoprincesa%5Fsti%5Fedu%2FDocuments%2FRepository%20Staff%2FRegistrar%5FKaren%20Torrefiel%2FTERIARY%20PRACTICUM%202T2526%20REPOSITORY%2FBSTM&amp;viewid=080e1a7c%2D27d6%2D482e%2Daa99%2D0b8e8943888e&amp;LOF=1" xr:uid="{A4A3C757-692C-40ED-9199-2D0597D9A3C5}"/>
    <hyperlink ref="M364" r:id="rId19" xr:uid="{CD089D41-A33F-4184-A8C2-0D03DBA8AAC4}"/>
    <hyperlink ref="L344" r:id="rId20" display="https://stiedu-my.sharepoint.com/personal/michaelkim_palay_puertoprincesa_sti_edu/_layouts/15/onedrive.aspx?id=%2Fpersonal%2Fmichaelkim%5Fpalay%5Fpuertoprincesa%5Fsti%5Fedu%2FDocuments%2FRepository%20Faculty%20Members%2FRepository%20SY2526%2FREPOSITORY%202T2526%2FNARIO%2C%20FELY%20ERIKA%2FDocumentation%2FPre%2DFinal%20ELMS&amp;viewid=080e1a7c%2D27d6%2D482e%2Daa99%2D0b8e8943888e" xr:uid="{7F361B76-3E6A-4569-B1AD-9D89B70FE26D}"/>
    <hyperlink ref="M374" r:id="rId21" xr:uid="{B7D23A99-0C10-4FDA-9CAB-AFD149586184}"/>
    <hyperlink ref="M414" r:id="rId22" xr:uid="{1AF38D54-1872-4910-A13F-CD02E3EBBFCF}"/>
    <hyperlink ref="M27" r:id="rId23" xr:uid="{A6D602DD-391F-41A0-BF1B-235331540E74}"/>
    <hyperlink ref="M48" r:id="rId24" xr:uid="{27784B89-2B97-46BC-AD1A-E142054C8B36}"/>
    <hyperlink ref="M623" r:id="rId25" display="https://stiedu-my.sharepoint.com/personal/michaelkim_palay_puertoprincesa_sti_edu/_layouts/15/onedrive.aspx?id=%2Fpersonal%2Fmichaelkim%5Fpalay%5Fpuertoprincesa%5Fsti%5Fedu%2FDocuments%2FRepository%20Faculty%20Members%2FRepository%20SY2526%2FREPOSITORY%202T2526%2FMAPANAO%2C%20MARRY%20JUSSLE%2FONLINE%20CLASS%20DOCUMENTATION&amp;viewid=080e1a7c%2D27d6%2D482e%2Daa99%2D0b8e8943888e" xr:uid="{7A84663C-4A8C-4CD1-BBCD-A1E5DE49884C}"/>
    <hyperlink ref="M105" r:id="rId26" display="https://stiedu-my.sharepoint.com/personal/michaelkim_palay_puertoprincesa_sti_edu/_layouts/15/onedrive.aspx?viewid=080e1a7c%2D27d6%2D482e%2Daa99%2D0b8e8943888e&amp;id=%2Fpersonal%2Fmichaelkim%5Fpalay%5Fpuertoprincesa%5Fsti%5Fedu%2FDocuments%2FRepository%20Faculty%20Members%2FRepository%20SY2526%2FREPOSITORY%202T2526%2FMAPANAO%2C%20MARRY%20JUSSLE%2FONLINE%20CLASS%20DOCUMENTATION%2FHM3%20SNACKS%20FOR%20SEMINAR%2Ejpg&amp;parent=%2Fpersonal%2Fmichaelkim%5Fpalay%5Fpuertoprincesa%5Fsti%5Fedu%2FDocuments%2FRepository%20Faculty%20Members%2FRepository%20SY2526%2FREPOSITORY%202T2526%2FMAPANAO%2C%20MARRY%20JUSSLE%2FONLINE%20CLASS%20DOCUMENTATION" xr:uid="{6471E411-D85E-43C2-87BB-90C2000B37EB}"/>
    <hyperlink ref="M115" r:id="rId27" display="https://stiedu-my.sharepoint.com/personal/michaelkim_palay_puertoprincesa_sti_edu/_layouts/15/onedrive.aspx?viewid=080e1a7c%2D27d6%2D482e%2Daa99%2D0b8e8943888e&amp;id=%2Fpersonal%2Fmichaelkim%5Fpalay%5Fpuertoprincesa%5Fsti%5Fedu%2FDocuments%2FRepository%20Faculty%20Members%2FRepository%20SY2526%2FREPOSITORY%202T2526%2FMAPANAO%2C%20MARRY%20JUSSLE%2FONLINE%20CLASS%20DOCUMENTATION%2FIMG%5F7990%2EJPEG&amp;parent=%2Fpersonal%2Fmichaelkim%5Fpalay%5Fpuertoprincesa%5Fsti%5Fedu%2FDocuments%2FRepository%20Faculty%20Members%2FRepository%20SY2526%2FREPOSITORY%202T2526%2FMAPANAO%2C%20MARRY%20JUSSLE%2FONLINE%20CLASS%20DOCUMENTATION" xr:uid="{D99FB14A-38B3-405B-916E-4289F9183D7A}"/>
    <hyperlink ref="M100" r:id="rId28" display="https://stiedu-my.sharepoint.com/personal/michaelkim_palay_puertoprincesa_sti_edu/_layouts/15/onedrive.aspx?id=%2Fpersonal%2Fmichaelkim%5Fpalay%5Fpuertoprincesa%5Fsti%5Fedu%2FDocuments%2FRepository%20Faculty%20Members%2FRepository%20SY2526%2FREPOSITORY%202T2526%2FNARIO%2C%20FELY%20ERIKA%2FDocumentation%2FFine%20Dining%20Activity%20at%20Hotel%20Fleuris&amp;viewid=080e1a7c%2D27d6%2D482e%2Daa99%2D0b8e8943888e" xr:uid="{32F671B2-3CB5-4CF5-B8B6-525471DDA7A9}"/>
    <hyperlink ref="M142:AE142" r:id="rId29" display="https://stiedu-my.sharepoint.com/personal/michaelkim_palay_puertoprincesa_sti_edu/_layouts/15/onedrive.aspx?id=%2Fpersonal%2Fmichaelkim%5Fpalay%5Fpuertoprincesa%5Fsti%5Fedu%2FDocuments%2FRepository%20Faculty%20Members%2FRepository%20SY2526%2FREPOSITORY%202T2526%2FMAPANAO%2C%20MARRY%20JUSSLE%2FActivities%20documentation%2FCUART%20Catering&amp;viewid=080e1a7c%2D27d6%2D482e%2Daa99%2D0b8e8943888e&amp;ga=1" xr:uid="{BC974E7C-BC71-40F7-A548-377DA8A0C5B0}"/>
  </hyperlinks>
  <pageMargins left="0.75" right="0.75" top="1" bottom="1" header="0.5" footer="0.5"/>
  <legacyDrawing r:id="rId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E11" sqref="E11"/>
    </sheetView>
  </sheetViews>
  <sheetFormatPr defaultColWidth="9" defaultRowHeight="15"/>
  <cols>
    <col min="1" max="1" width="17.375" customWidth="1"/>
  </cols>
  <sheetData>
    <row r="1" spans="1:5" ht="13.5">
      <c r="A1" s="29" t="s">
        <v>1303</v>
      </c>
      <c r="B1" s="34">
        <f>COUNTA('Master Task Tracker'!B3:B268)</f>
        <v>266</v>
      </c>
      <c r="C1" s="30"/>
      <c r="D1" s="46" t="s">
        <v>9</v>
      </c>
      <c r="E1" s="47"/>
    </row>
    <row r="2" spans="1:5" ht="13.5">
      <c r="A2" s="31" t="s">
        <v>1304</v>
      </c>
      <c r="B2" s="35">
        <f>COUNTIF('Master Task Tracker'!I3:I268,"Completed")</f>
        <v>246</v>
      </c>
      <c r="C2" s="28"/>
      <c r="D2" s="28" t="s">
        <v>19</v>
      </c>
      <c r="E2" s="37">
        <f>COUNTIF('Master Task Tracker'!I3:I268,"Completed")</f>
        <v>246</v>
      </c>
    </row>
    <row r="3" spans="1:5" ht="13.5">
      <c r="A3" s="31" t="s">
        <v>1305</v>
      </c>
      <c r="B3" s="35">
        <f>COUNTIF('Master Task Tracker'!I3:I268,"Delayed")</f>
        <v>0</v>
      </c>
      <c r="C3" s="28"/>
      <c r="D3" s="28" t="s">
        <v>51</v>
      </c>
      <c r="E3" s="37">
        <f>COUNTIF('Master Task Tracker'!I3:I268,"Ongoing")</f>
        <v>8</v>
      </c>
    </row>
    <row r="4" spans="1:5" ht="13.5">
      <c r="A4" s="32" t="s">
        <v>1306</v>
      </c>
      <c r="B4" s="36">
        <f>IF(B1=0,0,B2/B1)</f>
        <v>0.92481203007518797</v>
      </c>
      <c r="C4" s="33"/>
      <c r="D4" s="33" t="s">
        <v>1307</v>
      </c>
      <c r="E4" s="38">
        <f>COUNTIF('Master Task Tracker'!I3:I268,"Delayed")</f>
        <v>0</v>
      </c>
    </row>
    <row r="5" spans="1:5" ht="13.5"/>
  </sheetData>
  <mergeCells count="1">
    <mergeCell ref="D1:E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>
      <selection activeCell="A2" sqref="A2"/>
    </sheetView>
  </sheetViews>
  <sheetFormatPr defaultColWidth="9" defaultRowHeight="15"/>
  <cols>
    <col min="1" max="1" width="15.875" customWidth="1"/>
    <col min="2" max="2" width="25" customWidth="1"/>
    <col min="3" max="3" width="20.75" customWidth="1"/>
    <col min="4" max="4" width="11.875" customWidth="1"/>
    <col min="5" max="5" width="13.875" customWidth="1"/>
  </cols>
  <sheetData>
    <row r="1" spans="1:5">
      <c r="A1" s="1" t="s">
        <v>1308</v>
      </c>
      <c r="B1" s="1" t="s">
        <v>1303</v>
      </c>
      <c r="C1" s="1" t="s">
        <v>19</v>
      </c>
      <c r="D1" s="1" t="s">
        <v>1307</v>
      </c>
      <c r="E1" s="1" t="s">
        <v>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Lamban, Maricel</cp:lastModifiedBy>
  <cp:revision/>
  <dcterms:created xsi:type="dcterms:W3CDTF">2026-02-17T15:47:00Z</dcterms:created>
  <dcterms:modified xsi:type="dcterms:W3CDTF">2026-06-30T09:00:27Z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2323FCC69FEC4E88BEF053165CC56CA3_12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